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lina\Documents\РУКОВОДИТЕЛЬ ПРОЕКТОВ\задание 2\"/>
    </mc:Choice>
  </mc:AlternateContent>
  <xr:revisionPtr revIDLastSave="0" documentId="13_ncr:1_{88F2C49B-D0C4-4324-886E-7EF2648676E5}" xr6:coauthVersionLast="47" xr6:coauthVersionMax="47" xr10:uidLastSave="{00000000-0000-0000-0000-000000000000}"/>
  <bookViews>
    <workbookView xWindow="14400" yWindow="0" windowWidth="14400" windowHeight="15600" tabRatio="710" activeTab="1" xr2:uid="{00000000-000D-0000-FFFF-FFFF00000000}"/>
  </bookViews>
  <sheets>
    <sheet name="мои рассчеты" sheetId="11" r:id="rId1"/>
    <sheet name="Данные" sheetId="4" r:id="rId2"/>
    <sheet name="Прибыль" sheetId="5" r:id="rId3"/>
    <sheet name="Баланс" sheetId="6" r:id="rId4"/>
    <sheet name="Кэш-фло" sheetId="7" r:id="rId5"/>
    <sheet name="Анализ" sheetId="1" r:id="rId6"/>
    <sheet name="Графики" sheetId="2" r:id="rId7"/>
    <sheet name="SENS" sheetId="10" r:id="rId8"/>
    <sheet name="Расчеты" sheetId="8" state="hidden" r:id="rId9"/>
  </sheets>
  <definedNames>
    <definedName name="ASSETS_TAX">Данные!$B$148</definedName>
    <definedName name="CASH_DEFICIT">Расчеты!$B$63</definedName>
    <definedName name="CREDIT_FRA">Расчеты!$C$47</definedName>
    <definedName name="CREDIT_INT">Расчеты!$B$47</definedName>
    <definedName name="CREDIT_PERIOD">Данные!$B$133</definedName>
    <definedName name="CURLANGUAGE">Расчеты!$B$60</definedName>
    <definedName name="DEBIT_FRA">Расчеты!$C$46</definedName>
    <definedName name="DEBIT_INT">Расчеты!$B$46</definedName>
    <definedName name="DEBIT_PERIOD">Данные!$B$132</definedName>
    <definedName name="INVENT_FRA">Расчеты!$C$48</definedName>
    <definedName name="INVENT_INT">Расчеты!$B$48</definedName>
    <definedName name="INVENT_PERIOD">Данные!$B$131</definedName>
    <definedName name="LANG_SELECTION_PROMPT">Данные!$A$35</definedName>
    <definedName name="MAX_DURATION">Расчеты!$B$61</definedName>
    <definedName name="MAX_SENS_OFFSET">Расчеты!$B$64</definedName>
    <definedName name="NPV">Анализ!$B$38</definedName>
    <definedName name="PERIOD_LEN">Расчеты!$B$9</definedName>
    <definedName name="PRJ_DURATION">Расчеты!$B$10</definedName>
    <definedName name="PROFIT_TAX">Данные!$B$146</definedName>
    <definedName name="SALARY_TAX">Данные!$B$150</definedName>
    <definedName name="SALES_TAX">Данные!$B$149</definedName>
    <definedName name="STOCKS_PERIOD">Данные!$B$131</definedName>
    <definedName name="VAT">Данные!$B$147</definedName>
    <definedName name="_xlnm.Print_Titles" localSheetId="3">Баланс!$A:$A</definedName>
    <definedName name="_xlnm.Print_Titles" localSheetId="4">'Кэш-фло'!$A:$A</definedName>
    <definedName name="_xlnm.Print_Titles" localSheetId="2">Прибыль!$A:$A</definedName>
  </definedNames>
  <calcPr calcId="191029"/>
</workbook>
</file>

<file path=xl/calcChain.xml><?xml version="1.0" encoding="utf-8"?>
<calcChain xmlns="http://schemas.openxmlformats.org/spreadsheetml/2006/main">
  <c r="C14" i="11" l="1"/>
  <c r="C9" i="11"/>
  <c r="C7" i="11"/>
  <c r="C6" i="11"/>
  <c r="C5" i="11"/>
  <c r="C4" i="11"/>
  <c r="C3" i="11"/>
  <c r="C2" i="11"/>
  <c r="E9" i="11"/>
  <c r="I7" i="11"/>
  <c r="D7" i="11"/>
  <c r="D6" i="11"/>
  <c r="D5" i="11"/>
  <c r="D4" i="11"/>
  <c r="D3" i="11"/>
  <c r="D2" i="11"/>
  <c r="E3" i="11" s="1"/>
  <c r="E4" i="11" s="1"/>
  <c r="E5" i="11" s="1"/>
  <c r="E6" i="11" s="1"/>
  <c r="E7" i="11" s="1"/>
  <c r="B7" i="11"/>
  <c r="B6" i="11"/>
  <c r="B5" i="11"/>
  <c r="B4" i="11"/>
  <c r="B3" i="11"/>
  <c r="B2" i="11"/>
  <c r="E2" i="11" l="1"/>
  <c r="B13" i="8"/>
  <c r="G4" i="8" s="1"/>
  <c r="H4" i="8" s="1"/>
  <c r="C40" i="4" s="1"/>
  <c r="B3" i="1"/>
  <c r="A45" i="1"/>
  <c r="B45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A46" i="1"/>
  <c r="B46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A47" i="1"/>
  <c r="B47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A48" i="1"/>
  <c r="B48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A49" i="1"/>
  <c r="B49" i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A50" i="1"/>
  <c r="B50" i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A51" i="1"/>
  <c r="B51" i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A52" i="1"/>
  <c r="B52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A53" i="1"/>
  <c r="B53" i="1"/>
  <c r="C53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A54" i="1"/>
  <c r="B54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A55" i="1"/>
  <c r="B55" i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A56" i="1"/>
  <c r="B56" i="1"/>
  <c r="C56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A57" i="1"/>
  <c r="B57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A58" i="1"/>
  <c r="B58" i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A59" i="1"/>
  <c r="B59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A60" i="1"/>
  <c r="B60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A61" i="1"/>
  <c r="B61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A62" i="1"/>
  <c r="B62" i="1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A63" i="1"/>
  <c r="B63" i="1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A64" i="1"/>
  <c r="B64" i="1"/>
  <c r="C64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A66" i="1"/>
  <c r="B66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A67" i="1"/>
  <c r="B67" i="1"/>
  <c r="C67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A68" i="1"/>
  <c r="B68" i="1"/>
  <c r="C68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A69" i="1"/>
  <c r="B69" i="1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A70" i="1"/>
  <c r="B70" i="1"/>
  <c r="C70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A71" i="1"/>
  <c r="B71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A72" i="1"/>
  <c r="B72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A73" i="1"/>
  <c r="B73" i="1"/>
  <c r="C73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A74" i="1"/>
  <c r="B74" i="1"/>
  <c r="C74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A75" i="1"/>
  <c r="B75" i="1"/>
  <c r="C75" i="1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A76" i="1"/>
  <c r="B76" i="1"/>
  <c r="C76" i="1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A77" i="1"/>
  <c r="B77" i="1"/>
  <c r="C77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A78" i="1"/>
  <c r="B78" i="1"/>
  <c r="C78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A79" i="1"/>
  <c r="B79" i="1"/>
  <c r="C79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A80" i="1"/>
  <c r="B80" i="1"/>
  <c r="C80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A81" i="1"/>
  <c r="B81" i="1"/>
  <c r="C8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A82" i="1"/>
  <c r="B82" i="1"/>
  <c r="C82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A83" i="1"/>
  <c r="B8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A84" i="1"/>
  <c r="B84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A85" i="1"/>
  <c r="B85" i="1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A87" i="1"/>
  <c r="B87" i="1"/>
  <c r="C87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A88" i="1"/>
  <c r="B88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A89" i="1"/>
  <c r="B89" i="1"/>
  <c r="C89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A90" i="1"/>
  <c r="B90" i="1"/>
  <c r="C90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A91" i="1"/>
  <c r="B91" i="1"/>
  <c r="C91" i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A92" i="1"/>
  <c r="B92" i="1"/>
  <c r="C9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A93" i="1"/>
  <c r="B93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A94" i="1"/>
  <c r="B94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A95" i="1"/>
  <c r="B95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A96" i="1"/>
  <c r="B96" i="1"/>
  <c r="C96" i="1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A97" i="1"/>
  <c r="B97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A98" i="1"/>
  <c r="B98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A99" i="1"/>
  <c r="B99" i="1"/>
  <c r="C99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A100" i="1"/>
  <c r="B100" i="1"/>
  <c r="C100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A101" i="1"/>
  <c r="B101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A102" i="1"/>
  <c r="B102" i="1"/>
  <c r="C102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A103" i="1"/>
  <c r="B103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Y103" i="1"/>
  <c r="A104" i="1"/>
  <c r="B104" i="1"/>
  <c r="C104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Y104" i="1"/>
  <c r="A105" i="1"/>
  <c r="B105" i="1"/>
  <c r="C105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T105" i="1"/>
  <c r="U105" i="1"/>
  <c r="V105" i="1"/>
  <c r="W105" i="1"/>
  <c r="X105" i="1"/>
  <c r="Y105" i="1"/>
  <c r="A106" i="1"/>
  <c r="B106" i="1"/>
  <c r="C106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Y106" i="1"/>
  <c r="A41" i="4"/>
  <c r="B41" i="4"/>
  <c r="A42" i="4"/>
  <c r="B42" i="4"/>
  <c r="A43" i="4"/>
  <c r="B43" i="4"/>
  <c r="A44" i="4"/>
  <c r="B44" i="4"/>
  <c r="A45" i="4"/>
  <c r="B45" i="4"/>
  <c r="A46" i="4"/>
  <c r="B46" i="4"/>
  <c r="A47" i="4"/>
  <c r="B47" i="4"/>
  <c r="A48" i="4"/>
  <c r="B48" i="4"/>
  <c r="A49" i="4"/>
  <c r="B49" i="4"/>
  <c r="A50" i="4"/>
  <c r="B50" i="4"/>
  <c r="A51" i="4"/>
  <c r="B51" i="4"/>
  <c r="A52" i="4"/>
  <c r="B52" i="4"/>
  <c r="A53" i="4"/>
  <c r="B53" i="4"/>
  <c r="A54" i="4"/>
  <c r="B54" i="4"/>
  <c r="A55" i="4"/>
  <c r="B55" i="4"/>
  <c r="A56" i="4"/>
  <c r="B56" i="4"/>
  <c r="A57" i="4"/>
  <c r="B57" i="4"/>
  <c r="A58" i="4"/>
  <c r="B58" i="4"/>
  <c r="A59" i="4"/>
  <c r="B59" i="4"/>
  <c r="A60" i="4"/>
  <c r="B60" i="4"/>
  <c r="A63" i="4"/>
  <c r="B63" i="4"/>
  <c r="A64" i="4"/>
  <c r="B64" i="4"/>
  <c r="A65" i="4"/>
  <c r="B65" i="4"/>
  <c r="A66" i="4"/>
  <c r="B66" i="4"/>
  <c r="A67" i="4"/>
  <c r="B67" i="4"/>
  <c r="A68" i="4"/>
  <c r="B68" i="4"/>
  <c r="A69" i="4"/>
  <c r="B69" i="4"/>
  <c r="A70" i="4"/>
  <c r="B70" i="4"/>
  <c r="A71" i="4"/>
  <c r="B71" i="4"/>
  <c r="A72" i="4"/>
  <c r="B72" i="4"/>
  <c r="A73" i="4"/>
  <c r="B73" i="4"/>
  <c r="A74" i="4"/>
  <c r="B74" i="4"/>
  <c r="A75" i="4"/>
  <c r="B75" i="4"/>
  <c r="A76" i="4"/>
  <c r="B76" i="4"/>
  <c r="A77" i="4"/>
  <c r="B77" i="4"/>
  <c r="A78" i="4"/>
  <c r="B78" i="4"/>
  <c r="A79" i="4"/>
  <c r="B79" i="4"/>
  <c r="A80" i="4"/>
  <c r="B80" i="4"/>
  <c r="A81" i="4"/>
  <c r="B81" i="4"/>
  <c r="A82" i="4"/>
  <c r="B82" i="4"/>
  <c r="A85" i="4"/>
  <c r="B85" i="4"/>
  <c r="A86" i="4"/>
  <c r="B86" i="4"/>
  <c r="A87" i="4"/>
  <c r="B87" i="4"/>
  <c r="A88" i="4"/>
  <c r="B88" i="4"/>
  <c r="A89" i="4"/>
  <c r="B89" i="4"/>
  <c r="A90" i="4"/>
  <c r="B90" i="4"/>
  <c r="A91" i="4"/>
  <c r="B91" i="4"/>
  <c r="A92" i="4"/>
  <c r="B92" i="4"/>
  <c r="A93" i="4"/>
  <c r="B93" i="4"/>
  <c r="A94" i="4"/>
  <c r="B94" i="4"/>
  <c r="A95" i="4"/>
  <c r="B95" i="4"/>
  <c r="A96" i="4"/>
  <c r="B96" i="4"/>
  <c r="A97" i="4"/>
  <c r="B97" i="4"/>
  <c r="A98" i="4"/>
  <c r="B98" i="4"/>
  <c r="A99" i="4"/>
  <c r="B99" i="4"/>
  <c r="A100" i="4"/>
  <c r="B100" i="4"/>
  <c r="A101" i="4"/>
  <c r="B101" i="4"/>
  <c r="A102" i="4"/>
  <c r="B102" i="4"/>
  <c r="A103" i="4"/>
  <c r="B103" i="4"/>
  <c r="A104" i="4"/>
  <c r="B104" i="4"/>
  <c r="A107" i="4"/>
  <c r="B107" i="4"/>
  <c r="A108" i="4"/>
  <c r="B108" i="4"/>
  <c r="A109" i="4"/>
  <c r="B109" i="4"/>
  <c r="A110" i="4"/>
  <c r="B110" i="4"/>
  <c r="A111" i="4"/>
  <c r="B111" i="4"/>
  <c r="A112" i="4"/>
  <c r="B112" i="4"/>
  <c r="A113" i="4"/>
  <c r="B113" i="4"/>
  <c r="A114" i="4"/>
  <c r="B114" i="4"/>
  <c r="A115" i="4"/>
  <c r="B115" i="4"/>
  <c r="A116" i="4"/>
  <c r="B116" i="4"/>
  <c r="A117" i="4"/>
  <c r="B117" i="4"/>
  <c r="A118" i="4"/>
  <c r="B118" i="4"/>
  <c r="A119" i="4"/>
  <c r="B119" i="4"/>
  <c r="A120" i="4"/>
  <c r="B120" i="4"/>
  <c r="A121" i="4"/>
  <c r="B121" i="4"/>
  <c r="A122" i="4"/>
  <c r="B122" i="4"/>
  <c r="A123" i="4"/>
  <c r="B123" i="4"/>
  <c r="A124" i="4"/>
  <c r="B124" i="4"/>
  <c r="A125" i="4"/>
  <c r="B125" i="4"/>
  <c r="A126" i="4"/>
  <c r="B126" i="4"/>
  <c r="B164" i="4"/>
  <c r="B172" i="4" s="1"/>
  <c r="C165" i="4"/>
  <c r="B33" i="8" s="1"/>
  <c r="C33" i="8" s="1"/>
  <c r="D33" i="8" s="1"/>
  <c r="C166" i="4"/>
  <c r="B34" i="8" s="1"/>
  <c r="C34" i="8" s="1"/>
  <c r="C167" i="4"/>
  <c r="C168" i="4"/>
  <c r="C169" i="4"/>
  <c r="B37" i="8" s="1"/>
  <c r="C12" i="6" s="1"/>
  <c r="C170" i="4"/>
  <c r="B216" i="4" s="1"/>
  <c r="C171" i="4"/>
  <c r="C14" i="6" s="1"/>
  <c r="D14" i="6" s="1"/>
  <c r="E14" i="6" s="1"/>
  <c r="F14" i="6" s="1"/>
  <c r="G14" i="6" s="1"/>
  <c r="H14" i="6" s="1"/>
  <c r="I14" i="6" s="1"/>
  <c r="J14" i="6" s="1"/>
  <c r="K14" i="6" s="1"/>
  <c r="L14" i="6" s="1"/>
  <c r="M14" i="6" s="1"/>
  <c r="N14" i="6" s="1"/>
  <c r="O14" i="6" s="1"/>
  <c r="P14" i="6" s="1"/>
  <c r="Q14" i="6" s="1"/>
  <c r="R14" i="6" s="1"/>
  <c r="S14" i="6" s="1"/>
  <c r="T14" i="6" s="1"/>
  <c r="U14" i="6" s="1"/>
  <c r="V14" i="6" s="1"/>
  <c r="W14" i="6" s="1"/>
  <c r="X14" i="6" s="1"/>
  <c r="Y14" i="6" s="1"/>
  <c r="Z14" i="6" s="1"/>
  <c r="C174" i="4"/>
  <c r="C175" i="4"/>
  <c r="C176" i="4"/>
  <c r="C22" i="7" s="1"/>
  <c r="C177" i="4"/>
  <c r="C5" i="6" s="1"/>
  <c r="D5" i="6" s="1"/>
  <c r="E5" i="6" s="1"/>
  <c r="F5" i="6" s="1"/>
  <c r="G5" i="6" s="1"/>
  <c r="H5" i="6" s="1"/>
  <c r="I5" i="6" s="1"/>
  <c r="J5" i="6" s="1"/>
  <c r="K5" i="6" s="1"/>
  <c r="L5" i="6" s="1"/>
  <c r="M5" i="6" s="1"/>
  <c r="N5" i="6" s="1"/>
  <c r="O5" i="6" s="1"/>
  <c r="P5" i="6" s="1"/>
  <c r="Q5" i="6" s="1"/>
  <c r="R5" i="6" s="1"/>
  <c r="S5" i="6" s="1"/>
  <c r="T5" i="6" s="1"/>
  <c r="U5" i="6" s="1"/>
  <c r="V5" i="6" s="1"/>
  <c r="W5" i="6" s="1"/>
  <c r="X5" i="6" s="1"/>
  <c r="Y5" i="6" s="1"/>
  <c r="Z5" i="6" s="1"/>
  <c r="C178" i="4"/>
  <c r="C179" i="4"/>
  <c r="B180" i="4"/>
  <c r="C185" i="4"/>
  <c r="C187" i="4"/>
  <c r="B226" i="4" s="1"/>
  <c r="C226" i="4" s="1"/>
  <c r="C188" i="4"/>
  <c r="B232" i="4" s="1"/>
  <c r="C232" i="4" s="1"/>
  <c r="C189" i="4"/>
  <c r="B238" i="4" s="1"/>
  <c r="C238" i="4" s="1"/>
  <c r="D238" i="4" s="1"/>
  <c r="E238" i="4" s="1"/>
  <c r="F238" i="4" s="1"/>
  <c r="B190" i="4"/>
  <c r="C192" i="4"/>
  <c r="C193" i="4"/>
  <c r="C22" i="6" s="1"/>
  <c r="D22" i="6" s="1"/>
  <c r="E22" i="6" s="1"/>
  <c r="F22" i="6" s="1"/>
  <c r="G22" i="6" s="1"/>
  <c r="H22" i="6" s="1"/>
  <c r="I22" i="6" s="1"/>
  <c r="J22" i="6" s="1"/>
  <c r="K22" i="6" s="1"/>
  <c r="L22" i="6" s="1"/>
  <c r="M22" i="6" s="1"/>
  <c r="N22" i="6" s="1"/>
  <c r="O22" i="6" s="1"/>
  <c r="P22" i="6" s="1"/>
  <c r="Q22" i="6" s="1"/>
  <c r="R22" i="6" s="1"/>
  <c r="S22" i="6" s="1"/>
  <c r="T22" i="6" s="1"/>
  <c r="U22" i="6" s="1"/>
  <c r="V22" i="6" s="1"/>
  <c r="W22" i="6" s="1"/>
  <c r="X22" i="6" s="1"/>
  <c r="Y22" i="6" s="1"/>
  <c r="Z22" i="6" s="1"/>
  <c r="C194" i="4"/>
  <c r="C195" i="4"/>
  <c r="B196" i="4"/>
  <c r="C208" i="4"/>
  <c r="C10" i="7" s="1"/>
  <c r="D208" i="4"/>
  <c r="D10" i="7" s="1"/>
  <c r="E208" i="4"/>
  <c r="E10" i="7" s="1"/>
  <c r="F208" i="4"/>
  <c r="F10" i="7" s="1"/>
  <c r="G208" i="4"/>
  <c r="G10" i="7" s="1"/>
  <c r="H208" i="4"/>
  <c r="H10" i="7" s="1"/>
  <c r="I208" i="4"/>
  <c r="I10" i="7" s="1"/>
  <c r="J208" i="4"/>
  <c r="J10" i="7" s="1"/>
  <c r="K208" i="4"/>
  <c r="K10" i="7" s="1"/>
  <c r="L208" i="4"/>
  <c r="L10" i="7" s="1"/>
  <c r="M208" i="4"/>
  <c r="M10" i="7" s="1"/>
  <c r="N208" i="4"/>
  <c r="N10" i="7" s="1"/>
  <c r="O208" i="4"/>
  <c r="O10" i="7" s="1"/>
  <c r="P208" i="4"/>
  <c r="P10" i="7" s="1"/>
  <c r="Q208" i="4"/>
  <c r="Q10" i="7" s="1"/>
  <c r="R208" i="4"/>
  <c r="R10" i="7" s="1"/>
  <c r="S208" i="4"/>
  <c r="S10" i="7" s="1"/>
  <c r="T208" i="4"/>
  <c r="U208" i="4"/>
  <c r="V208" i="4"/>
  <c r="V10" i="7" s="1"/>
  <c r="W208" i="4"/>
  <c r="W10" i="7" s="1"/>
  <c r="X208" i="4"/>
  <c r="X10" i="7" s="1"/>
  <c r="Y208" i="4"/>
  <c r="Y10" i="7" s="1"/>
  <c r="Z208" i="4"/>
  <c r="Z10" i="7" s="1"/>
  <c r="C215" i="4"/>
  <c r="D215" i="4"/>
  <c r="D11" i="7" s="1"/>
  <c r="E215" i="4"/>
  <c r="E11" i="7" s="1"/>
  <c r="F215" i="4"/>
  <c r="F11" i="7" s="1"/>
  <c r="G215" i="4"/>
  <c r="G11" i="7" s="1"/>
  <c r="H215" i="4"/>
  <c r="H11" i="7" s="1"/>
  <c r="I215" i="4"/>
  <c r="I11" i="7" s="1"/>
  <c r="J215" i="4"/>
  <c r="J11" i="7" s="1"/>
  <c r="K215" i="4"/>
  <c r="K11" i="7" s="1"/>
  <c r="L215" i="4"/>
  <c r="L11" i="7" s="1"/>
  <c r="M215" i="4"/>
  <c r="N215" i="4"/>
  <c r="N11" i="7" s="1"/>
  <c r="O215" i="4"/>
  <c r="O11" i="7" s="1"/>
  <c r="P215" i="4"/>
  <c r="P11" i="7" s="1"/>
  <c r="Q215" i="4"/>
  <c r="Q11" i="7" s="1"/>
  <c r="R215" i="4"/>
  <c r="R11" i="7" s="1"/>
  <c r="S215" i="4"/>
  <c r="S11" i="7" s="1"/>
  <c r="T215" i="4"/>
  <c r="T11" i="7" s="1"/>
  <c r="U215" i="4"/>
  <c r="U11" i="7" s="1"/>
  <c r="V215" i="4"/>
  <c r="V11" i="7" s="1"/>
  <c r="W215" i="4"/>
  <c r="W11" i="7" s="1"/>
  <c r="X215" i="4"/>
  <c r="X11" i="7" s="1"/>
  <c r="Y215" i="4"/>
  <c r="Y11" i="7" s="1"/>
  <c r="Z215" i="4"/>
  <c r="Z11" i="7" s="1"/>
  <c r="A225" i="4"/>
  <c r="A231" i="4"/>
  <c r="A237" i="4"/>
  <c r="C245" i="4"/>
  <c r="C16" i="7" s="1"/>
  <c r="D245" i="4"/>
  <c r="D16" i="7" s="1"/>
  <c r="E245" i="4"/>
  <c r="E16" i="7" s="1"/>
  <c r="F245" i="4"/>
  <c r="F16" i="7" s="1"/>
  <c r="G245" i="4"/>
  <c r="G16" i="7" s="1"/>
  <c r="H245" i="4"/>
  <c r="H16" i="7" s="1"/>
  <c r="I245" i="4"/>
  <c r="J245" i="4"/>
  <c r="K245" i="4"/>
  <c r="L245" i="4"/>
  <c r="L16" i="7" s="1"/>
  <c r="M245" i="4"/>
  <c r="M16" i="7" s="1"/>
  <c r="N245" i="4"/>
  <c r="O245" i="4"/>
  <c r="O16" i="7" s="1"/>
  <c r="P245" i="4"/>
  <c r="P16" i="7" s="1"/>
  <c r="Q245" i="4"/>
  <c r="R245" i="4"/>
  <c r="R16" i="7" s="1"/>
  <c r="S245" i="4"/>
  <c r="S16" i="7" s="1"/>
  <c r="T245" i="4"/>
  <c r="T16" i="7" s="1"/>
  <c r="U245" i="4"/>
  <c r="U16" i="7" s="1"/>
  <c r="V245" i="4"/>
  <c r="V16" i="7" s="1"/>
  <c r="W245" i="4"/>
  <c r="W16" i="7" s="1"/>
  <c r="X245" i="4"/>
  <c r="X16" i="7" s="1"/>
  <c r="Y245" i="4"/>
  <c r="Y16" i="7" s="1"/>
  <c r="Z245" i="4"/>
  <c r="Z16" i="7" s="1"/>
  <c r="C246" i="4"/>
  <c r="C17" i="7" s="1"/>
  <c r="D246" i="4"/>
  <c r="D17" i="7" s="1"/>
  <c r="E246" i="4"/>
  <c r="E17" i="7" s="1"/>
  <c r="F246" i="4"/>
  <c r="F17" i="7" s="1"/>
  <c r="G246" i="4"/>
  <c r="G17" i="7" s="1"/>
  <c r="H246" i="4"/>
  <c r="H17" i="7" s="1"/>
  <c r="I246" i="4"/>
  <c r="J246" i="4"/>
  <c r="J17" i="7" s="1"/>
  <c r="K246" i="4"/>
  <c r="L246" i="4"/>
  <c r="L17" i="7" s="1"/>
  <c r="M246" i="4"/>
  <c r="M17" i="7" s="1"/>
  <c r="N246" i="4"/>
  <c r="N17" i="7" s="1"/>
  <c r="O246" i="4"/>
  <c r="O17" i="7" s="1"/>
  <c r="P246" i="4"/>
  <c r="Q246" i="4"/>
  <c r="R246" i="4"/>
  <c r="S246" i="4"/>
  <c r="S17" i="7" s="1"/>
  <c r="T246" i="4"/>
  <c r="T17" i="7" s="1"/>
  <c r="U246" i="4"/>
  <c r="U17" i="7" s="1"/>
  <c r="V246" i="4"/>
  <c r="V17" i="7" s="1"/>
  <c r="W246" i="4"/>
  <c r="W17" i="7" s="1"/>
  <c r="X246" i="4"/>
  <c r="X17" i="7" s="1"/>
  <c r="Y246" i="4"/>
  <c r="Z246" i="4"/>
  <c r="Z17" i="7" s="1"/>
  <c r="T10" i="7"/>
  <c r="U10" i="7"/>
  <c r="M11" i="7"/>
  <c r="C12" i="7"/>
  <c r="D12" i="7"/>
  <c r="E12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T12" i="7"/>
  <c r="U12" i="7"/>
  <c r="V12" i="7"/>
  <c r="W12" i="7"/>
  <c r="X12" i="7"/>
  <c r="Y12" i="7"/>
  <c r="Z12" i="7"/>
  <c r="C15" i="7"/>
  <c r="D15" i="7"/>
  <c r="E15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S15" i="7"/>
  <c r="T15" i="7"/>
  <c r="U15" i="7"/>
  <c r="V15" i="7"/>
  <c r="W15" i="7"/>
  <c r="X15" i="7"/>
  <c r="Y15" i="7"/>
  <c r="Z15" i="7"/>
  <c r="I16" i="7"/>
  <c r="J16" i="7"/>
  <c r="K16" i="7"/>
  <c r="N16" i="7"/>
  <c r="Q16" i="7"/>
  <c r="I17" i="7"/>
  <c r="K17" i="7"/>
  <c r="P17" i="7"/>
  <c r="Q17" i="7"/>
  <c r="R17" i="7"/>
  <c r="Y17" i="7"/>
  <c r="O2" i="5"/>
  <c r="N23" i="1" s="1"/>
  <c r="P2" i="5"/>
  <c r="O23" i="1" s="1"/>
  <c r="Q2" i="5"/>
  <c r="P23" i="1" s="1"/>
  <c r="R2" i="5"/>
  <c r="Q23" i="1" s="1"/>
  <c r="S2" i="5"/>
  <c r="R23" i="1" s="1"/>
  <c r="T2" i="5"/>
  <c r="S23" i="1" s="1"/>
  <c r="U2" i="5"/>
  <c r="T23" i="1" s="1"/>
  <c r="V2" i="5"/>
  <c r="U23" i="1" s="1"/>
  <c r="W2" i="5"/>
  <c r="V23" i="1" s="1"/>
  <c r="X2" i="5"/>
  <c r="W23" i="1" s="1"/>
  <c r="Y2" i="5"/>
  <c r="X23" i="1" s="1"/>
  <c r="Z2" i="5"/>
  <c r="Y23" i="1" s="1"/>
  <c r="O4" i="5"/>
  <c r="P4" i="5"/>
  <c r="Q4" i="5"/>
  <c r="R4" i="5"/>
  <c r="S4" i="5"/>
  <c r="T4" i="5"/>
  <c r="U4" i="5"/>
  <c r="V4" i="5"/>
  <c r="W4" i="5"/>
  <c r="X4" i="5"/>
  <c r="Y4" i="5"/>
  <c r="Z4" i="5"/>
  <c r="O5" i="5"/>
  <c r="P5" i="5"/>
  <c r="Q5" i="5"/>
  <c r="R5" i="5"/>
  <c r="S5" i="5"/>
  <c r="T5" i="5"/>
  <c r="U5" i="5"/>
  <c r="V5" i="5"/>
  <c r="W5" i="5"/>
  <c r="X5" i="5"/>
  <c r="Y5" i="5"/>
  <c r="Z5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W10" i="5"/>
  <c r="X10" i="5"/>
  <c r="Y10" i="5"/>
  <c r="Z10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W14" i="5"/>
  <c r="X14" i="5"/>
  <c r="Y14" i="5"/>
  <c r="Z14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Y15" i="5"/>
  <c r="Z15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Y16" i="5"/>
  <c r="Z16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Y17" i="5"/>
  <c r="Z17" i="5"/>
  <c r="B9" i="8"/>
  <c r="B17" i="8"/>
  <c r="B18" i="8"/>
  <c r="B19" i="8"/>
  <c r="B20" i="8"/>
  <c r="B21" i="8"/>
  <c r="B22" i="8"/>
  <c r="B23" i="8"/>
  <c r="B24" i="8"/>
  <c r="B35" i="8"/>
  <c r="C35" i="8" s="1"/>
  <c r="D35" i="8" s="1"/>
  <c r="B36" i="8"/>
  <c r="C11" i="6" s="1"/>
  <c r="T3" i="5" l="1"/>
  <c r="Q13" i="5"/>
  <c r="C190" i="4"/>
  <c r="C198" i="4" s="1"/>
  <c r="B198" i="4"/>
  <c r="B182" i="4"/>
  <c r="W3" i="5"/>
  <c r="O3" i="5"/>
  <c r="S3" i="5"/>
  <c r="M13" i="5"/>
  <c r="L53" i="8" s="1"/>
  <c r="D232" i="4"/>
  <c r="E232" i="4" s="1"/>
  <c r="F232" i="4" s="1"/>
  <c r="G232" i="4" s="1"/>
  <c r="H232" i="4" s="1"/>
  <c r="I232" i="4" s="1"/>
  <c r="J232" i="4" s="1"/>
  <c r="K232" i="4" s="1"/>
  <c r="L232" i="4" s="1"/>
  <c r="M232" i="4" s="1"/>
  <c r="N232" i="4" s="1"/>
  <c r="O232" i="4" s="1"/>
  <c r="P232" i="4" s="1"/>
  <c r="Q232" i="4" s="1"/>
  <c r="R232" i="4" s="1"/>
  <c r="S232" i="4" s="1"/>
  <c r="T232" i="4" s="1"/>
  <c r="U232" i="4" s="1"/>
  <c r="V232" i="4" s="1"/>
  <c r="W232" i="4" s="1"/>
  <c r="X232" i="4" s="1"/>
  <c r="Y232" i="4" s="1"/>
  <c r="Z232" i="4" s="1"/>
  <c r="C247" i="4"/>
  <c r="Z13" i="5"/>
  <c r="Z5" i="7" s="1"/>
  <c r="R13" i="5"/>
  <c r="R5" i="7" s="1"/>
  <c r="Z3" i="5"/>
  <c r="R3" i="5"/>
  <c r="M13" i="7"/>
  <c r="C196" i="4"/>
  <c r="C180" i="4"/>
  <c r="Y13" i="5"/>
  <c r="Y5" i="7" s="1"/>
  <c r="T13" i="7"/>
  <c r="M65" i="1"/>
  <c r="N4" i="5" s="1"/>
  <c r="X13" i="5"/>
  <c r="W53" i="8" s="1"/>
  <c r="P13" i="5"/>
  <c r="P5" i="7" s="1"/>
  <c r="X3" i="5"/>
  <c r="P3" i="5"/>
  <c r="W13" i="5"/>
  <c r="W5" i="7" s="1"/>
  <c r="O13" i="5"/>
  <c r="C21" i="6"/>
  <c r="D21" i="6" s="1"/>
  <c r="V13" i="5"/>
  <c r="V5" i="7" s="1"/>
  <c r="N13" i="5"/>
  <c r="N5" i="7" s="1"/>
  <c r="V3" i="5"/>
  <c r="Y13" i="7"/>
  <c r="U13" i="5"/>
  <c r="U5" i="7" s="1"/>
  <c r="U3" i="5"/>
  <c r="C216" i="4"/>
  <c r="C13" i="6" s="1"/>
  <c r="H86" i="1"/>
  <c r="I5" i="5" s="1"/>
  <c r="T13" i="5"/>
  <c r="T5" i="7" s="1"/>
  <c r="L13" i="5"/>
  <c r="K53" i="8" s="1"/>
  <c r="O13" i="7"/>
  <c r="L86" i="1"/>
  <c r="M5" i="5" s="1"/>
  <c r="M86" i="1"/>
  <c r="N5" i="5" s="1"/>
  <c r="L44" i="1"/>
  <c r="M2" i="5" s="1"/>
  <c r="S13" i="5"/>
  <c r="S5" i="7" s="1"/>
  <c r="K13" i="5"/>
  <c r="I13" i="7"/>
  <c r="Z13" i="7"/>
  <c r="V13" i="7"/>
  <c r="R13" i="7"/>
  <c r="N13" i="7"/>
  <c r="J13" i="7"/>
  <c r="F13" i="7"/>
  <c r="C11" i="7"/>
  <c r="C13" i="7" s="1"/>
  <c r="D13" i="7"/>
  <c r="J13" i="5"/>
  <c r="J5" i="7" s="1"/>
  <c r="H13" i="5"/>
  <c r="G53" i="8" s="1"/>
  <c r="G13" i="5"/>
  <c r="G5" i="7" s="1"/>
  <c r="F13" i="5"/>
  <c r="F5" i="7" s="1"/>
  <c r="E13" i="5"/>
  <c r="E5" i="7" s="1"/>
  <c r="D13" i="5"/>
  <c r="C53" i="8" s="1"/>
  <c r="C13" i="5"/>
  <c r="B53" i="8" s="1"/>
  <c r="I13" i="5"/>
  <c r="H53" i="8" s="1"/>
  <c r="H65" i="1"/>
  <c r="I4" i="5" s="1"/>
  <c r="D65" i="1"/>
  <c r="E4" i="5" s="1"/>
  <c r="D44" i="1"/>
  <c r="E2" i="5" s="1"/>
  <c r="E11" i="5" s="1"/>
  <c r="E12" i="5" s="1"/>
  <c r="E86" i="1"/>
  <c r="F5" i="5" s="1"/>
  <c r="E65" i="1"/>
  <c r="F4" i="5" s="1"/>
  <c r="C65" i="1"/>
  <c r="D4" i="5" s="1"/>
  <c r="P11" i="5"/>
  <c r="P12" i="5" s="1"/>
  <c r="P9" i="5" s="1"/>
  <c r="P6" i="7" s="1"/>
  <c r="O117" i="1" s="1"/>
  <c r="I65" i="1"/>
  <c r="J4" i="5" s="1"/>
  <c r="G86" i="1"/>
  <c r="H5" i="5" s="1"/>
  <c r="G65" i="1"/>
  <c r="H4" i="5" s="1"/>
  <c r="S6" i="5"/>
  <c r="R116" i="1" s="1"/>
  <c r="C86" i="1"/>
  <c r="D5" i="5" s="1"/>
  <c r="H44" i="1"/>
  <c r="I2" i="5" s="1"/>
  <c r="I11" i="5" s="1"/>
  <c r="O6" i="5"/>
  <c r="N116" i="1" s="1"/>
  <c r="W6" i="5"/>
  <c r="V116" i="1" s="1"/>
  <c r="R6" i="5"/>
  <c r="Q116" i="1" s="1"/>
  <c r="Y6" i="5"/>
  <c r="X116" i="1" s="1"/>
  <c r="U6" i="5"/>
  <c r="T116" i="1" s="1"/>
  <c r="Q6" i="5"/>
  <c r="P116" i="1" s="1"/>
  <c r="X6" i="5"/>
  <c r="W116" i="1" s="1"/>
  <c r="T6" i="5"/>
  <c r="S116" i="1" s="1"/>
  <c r="P6" i="5"/>
  <c r="O116" i="1" s="1"/>
  <c r="V6" i="5"/>
  <c r="U116" i="1" s="1"/>
  <c r="Z6" i="5"/>
  <c r="Y116" i="1" s="1"/>
  <c r="T11" i="5"/>
  <c r="T12" i="5" s="1"/>
  <c r="X11" i="5"/>
  <c r="X12" i="5" s="1"/>
  <c r="U11" i="5"/>
  <c r="U12" i="5" s="1"/>
  <c r="Y11" i="5"/>
  <c r="Y12" i="5" s="1"/>
  <c r="Q11" i="5"/>
  <c r="Q12" i="5" s="1"/>
  <c r="Q9" i="5" s="1"/>
  <c r="Q6" i="7" s="1"/>
  <c r="P117" i="1" s="1"/>
  <c r="L13" i="7"/>
  <c r="W11" i="5"/>
  <c r="W12" i="5" s="1"/>
  <c r="S11" i="5"/>
  <c r="S12" i="5" s="1"/>
  <c r="O11" i="5"/>
  <c r="O12" i="5" s="1"/>
  <c r="U13" i="7"/>
  <c r="P13" i="7"/>
  <c r="E13" i="7"/>
  <c r="X13" i="7"/>
  <c r="S13" i="7"/>
  <c r="H13" i="7"/>
  <c r="C164" i="4"/>
  <c r="C172" i="4" s="1"/>
  <c r="Q13" i="7"/>
  <c r="Z11" i="5"/>
  <c r="Z12" i="5" s="1"/>
  <c r="V11" i="5"/>
  <c r="V12" i="5" s="1"/>
  <c r="R11" i="5"/>
  <c r="R12" i="5" s="1"/>
  <c r="D53" i="8"/>
  <c r="E35" i="8"/>
  <c r="P53" i="8"/>
  <c r="Q5" i="7"/>
  <c r="Q3" i="5"/>
  <c r="K13" i="7"/>
  <c r="G238" i="4"/>
  <c r="D18" i="6"/>
  <c r="H18" i="6"/>
  <c r="L18" i="6"/>
  <c r="P18" i="6"/>
  <c r="T18" i="6"/>
  <c r="X18" i="6"/>
  <c r="E18" i="6"/>
  <c r="I18" i="6"/>
  <c r="M18" i="6"/>
  <c r="Q18" i="6"/>
  <c r="U18" i="6"/>
  <c r="Y18" i="6"/>
  <c r="G18" i="6"/>
  <c r="O18" i="6"/>
  <c r="W18" i="6"/>
  <c r="J18" i="6"/>
  <c r="R18" i="6"/>
  <c r="Z18" i="6"/>
  <c r="C229" i="4"/>
  <c r="D229" i="4" s="1"/>
  <c r="E229" i="4" s="1"/>
  <c r="F229" i="4" s="1"/>
  <c r="G229" i="4" s="1"/>
  <c r="H229" i="4" s="1"/>
  <c r="I229" i="4" s="1"/>
  <c r="J229" i="4" s="1"/>
  <c r="K229" i="4" s="1"/>
  <c r="L229" i="4" s="1"/>
  <c r="M229" i="4" s="1"/>
  <c r="N229" i="4" s="1"/>
  <c r="O229" i="4" s="1"/>
  <c r="P229" i="4" s="1"/>
  <c r="Q229" i="4" s="1"/>
  <c r="R229" i="4" s="1"/>
  <c r="S229" i="4" s="1"/>
  <c r="T229" i="4" s="1"/>
  <c r="U229" i="4" s="1"/>
  <c r="V229" i="4" s="1"/>
  <c r="W229" i="4" s="1"/>
  <c r="X229" i="4" s="1"/>
  <c r="Y229" i="4" s="1"/>
  <c r="Z229" i="4" s="1"/>
  <c r="C18" i="6"/>
  <c r="C20" i="6" s="1"/>
  <c r="K18" i="6"/>
  <c r="S18" i="6"/>
  <c r="F18" i="6"/>
  <c r="N18" i="6"/>
  <c r="C235" i="4"/>
  <c r="B46" i="8"/>
  <c r="C46" i="8" s="1"/>
  <c r="B48" i="8"/>
  <c r="C48" i="8" s="1"/>
  <c r="V18" i="6"/>
  <c r="C241" i="4"/>
  <c r="B8" i="1"/>
  <c r="B112" i="1"/>
  <c r="C1" i="6"/>
  <c r="C202" i="4"/>
  <c r="C210" i="4"/>
  <c r="C62" i="4"/>
  <c r="C84" i="4"/>
  <c r="C106" i="4"/>
  <c r="C135" i="4"/>
  <c r="C1" i="7"/>
  <c r="C1" i="5"/>
  <c r="C224" i="4"/>
  <c r="Y3" i="5"/>
  <c r="O53" i="8"/>
  <c r="E20" i="5"/>
  <c r="V53" i="8"/>
  <c r="B47" i="8"/>
  <c r="C47" i="8" s="1"/>
  <c r="E33" i="8"/>
  <c r="D34" i="8"/>
  <c r="D20" i="5"/>
  <c r="G5" i="8"/>
  <c r="W13" i="7"/>
  <c r="G13" i="7"/>
  <c r="C37" i="8"/>
  <c r="C36" i="8"/>
  <c r="D226" i="4"/>
  <c r="C24" i="5"/>
  <c r="C23" i="5"/>
  <c r="C22" i="5"/>
  <c r="B41" i="8" s="1"/>
  <c r="C21" i="5"/>
  <c r="B40" i="8" s="1"/>
  <c r="C20" i="5"/>
  <c r="D86" i="1"/>
  <c r="E5" i="5" s="1"/>
  <c r="J44" i="1"/>
  <c r="K2" i="5" s="1"/>
  <c r="F44" i="1"/>
  <c r="G2" i="5" s="1"/>
  <c r="B44" i="1"/>
  <c r="I86" i="1"/>
  <c r="J5" i="5" s="1"/>
  <c r="K86" i="1"/>
  <c r="L5" i="5" s="1"/>
  <c r="K65" i="1"/>
  <c r="L4" i="5" s="1"/>
  <c r="L65" i="1"/>
  <c r="M4" i="5" s="1"/>
  <c r="M44" i="1"/>
  <c r="N2" i="5" s="1"/>
  <c r="I44" i="1"/>
  <c r="J2" i="5" s="1"/>
  <c r="E44" i="1"/>
  <c r="F2" i="5" s="1"/>
  <c r="J86" i="1"/>
  <c r="K5" i="5" s="1"/>
  <c r="F86" i="1"/>
  <c r="G5" i="5" s="1"/>
  <c r="B86" i="1"/>
  <c r="C5" i="5" s="1"/>
  <c r="J65" i="1"/>
  <c r="K4" i="5" s="1"/>
  <c r="F65" i="1"/>
  <c r="G4" i="5" s="1"/>
  <c r="B65" i="1"/>
  <c r="C4" i="5" s="1"/>
  <c r="K44" i="1"/>
  <c r="L2" i="5" s="1"/>
  <c r="G44" i="1"/>
  <c r="H2" i="5" s="1"/>
  <c r="C44" i="1"/>
  <c r="D2" i="5" s="1"/>
  <c r="M3" i="5" l="1"/>
  <c r="D5" i="7"/>
  <c r="T53" i="8"/>
  <c r="X53" i="8"/>
  <c r="R53" i="8"/>
  <c r="F3" i="5"/>
  <c r="D216" i="4"/>
  <c r="D13" i="6" s="1"/>
  <c r="C182" i="4"/>
  <c r="I3" i="5"/>
  <c r="U53" i="8"/>
  <c r="C5" i="7"/>
  <c r="H5" i="7"/>
  <c r="S53" i="8"/>
  <c r="Y53" i="8"/>
  <c r="M5" i="7"/>
  <c r="Q53" i="8"/>
  <c r="X5" i="7"/>
  <c r="L5" i="7"/>
  <c r="I53" i="8"/>
  <c r="M53" i="8"/>
  <c r="J3" i="5"/>
  <c r="M11" i="5"/>
  <c r="M12" i="5" s="1"/>
  <c r="M9" i="5" s="1"/>
  <c r="M6" i="7" s="1"/>
  <c r="L117" i="1" s="1"/>
  <c r="M6" i="5"/>
  <c r="L116" i="1" s="1"/>
  <c r="K3" i="5"/>
  <c r="N3" i="5"/>
  <c r="K5" i="7"/>
  <c r="J53" i="8"/>
  <c r="O5" i="7"/>
  <c r="N53" i="8"/>
  <c r="C230" i="4"/>
  <c r="F53" i="8"/>
  <c r="E53" i="8"/>
  <c r="I5" i="7"/>
  <c r="U7" i="5"/>
  <c r="H3" i="5"/>
  <c r="E6" i="5"/>
  <c r="D116" i="1" s="1"/>
  <c r="Z7" i="5"/>
  <c r="X9" i="5"/>
  <c r="X6" i="7" s="1"/>
  <c r="W117" i="1" s="1"/>
  <c r="D3" i="5"/>
  <c r="P7" i="5"/>
  <c r="E9" i="5"/>
  <c r="E6" i="7" s="1"/>
  <c r="D117" i="1" s="1"/>
  <c r="T9" i="5"/>
  <c r="T6" i="7" s="1"/>
  <c r="S117" i="1" s="1"/>
  <c r="S7" i="5"/>
  <c r="W7" i="5"/>
  <c r="Q7" i="5"/>
  <c r="R7" i="5"/>
  <c r="X7" i="5"/>
  <c r="I12" i="5"/>
  <c r="I9" i="5" s="1"/>
  <c r="I6" i="7" s="1"/>
  <c r="H117" i="1" s="1"/>
  <c r="Y7" i="5"/>
  <c r="O7" i="5"/>
  <c r="V7" i="5"/>
  <c r="U9" i="5"/>
  <c r="U6" i="7" s="1"/>
  <c r="T117" i="1" s="1"/>
  <c r="T7" i="5"/>
  <c r="I6" i="5"/>
  <c r="R9" i="5"/>
  <c r="R6" i="7" s="1"/>
  <c r="Q117" i="1" s="1"/>
  <c r="Z9" i="5"/>
  <c r="Z6" i="7" s="1"/>
  <c r="Y117" i="1" s="1"/>
  <c r="W9" i="5"/>
  <c r="W6" i="7" s="1"/>
  <c r="V117" i="1" s="1"/>
  <c r="S9" i="5"/>
  <c r="S6" i="7" s="1"/>
  <c r="R117" i="1" s="1"/>
  <c r="Y9" i="5"/>
  <c r="Y6" i="7" s="1"/>
  <c r="X117" i="1" s="1"/>
  <c r="O9" i="5"/>
  <c r="O6" i="7" s="1"/>
  <c r="N117" i="1" s="1"/>
  <c r="V9" i="5"/>
  <c r="V6" i="7" s="1"/>
  <c r="U117" i="1" s="1"/>
  <c r="C3" i="5"/>
  <c r="N6" i="5"/>
  <c r="M116" i="1" s="1"/>
  <c r="N11" i="5"/>
  <c r="D6" i="5"/>
  <c r="C116" i="1" s="1"/>
  <c r="D11" i="5"/>
  <c r="H6" i="5"/>
  <c r="G116" i="1" s="1"/>
  <c r="H11" i="5"/>
  <c r="F6" i="5"/>
  <c r="E116" i="1" s="1"/>
  <c r="F11" i="5"/>
  <c r="L3" i="5"/>
  <c r="G6" i="5"/>
  <c r="F116" i="1" s="1"/>
  <c r="G11" i="5"/>
  <c r="C19" i="5"/>
  <c r="B39" i="8"/>
  <c r="H5" i="8"/>
  <c r="D40" i="4" s="1"/>
  <c r="G6" i="8"/>
  <c r="K6" i="5"/>
  <c r="J116" i="1" s="1"/>
  <c r="K11" i="5"/>
  <c r="D20" i="6"/>
  <c r="D230" i="4"/>
  <c r="D247" i="4"/>
  <c r="E226" i="4"/>
  <c r="D11" i="6"/>
  <c r="D23" i="5"/>
  <c r="D36" i="8"/>
  <c r="F20" i="5"/>
  <c r="F33" i="8"/>
  <c r="E21" i="6"/>
  <c r="C55" i="8"/>
  <c r="D4" i="7" s="1"/>
  <c r="C52" i="8" s="1"/>
  <c r="G55" i="8"/>
  <c r="H4" i="7" s="1"/>
  <c r="G52" i="8" s="1"/>
  <c r="K55" i="8"/>
  <c r="L4" i="7" s="1"/>
  <c r="K52" i="8" s="1"/>
  <c r="O55" i="8"/>
  <c r="P4" i="7" s="1"/>
  <c r="O52" i="8" s="1"/>
  <c r="S55" i="8"/>
  <c r="T4" i="7" s="1"/>
  <c r="S52" i="8" s="1"/>
  <c r="W55" i="8"/>
  <c r="X4" i="7" s="1"/>
  <c r="W52" i="8" s="1"/>
  <c r="D55" i="8"/>
  <c r="E4" i="7" s="1"/>
  <c r="D52" i="8" s="1"/>
  <c r="L55" i="8"/>
  <c r="M4" i="7" s="1"/>
  <c r="L52" i="8" s="1"/>
  <c r="P55" i="8"/>
  <c r="Q4" i="7" s="1"/>
  <c r="P52" i="8" s="1"/>
  <c r="X55" i="8"/>
  <c r="Y4" i="7" s="1"/>
  <c r="X52" i="8" s="1"/>
  <c r="H55" i="8"/>
  <c r="I4" i="7" s="1"/>
  <c r="H52" i="8" s="1"/>
  <c r="T55" i="8"/>
  <c r="U4" i="7" s="1"/>
  <c r="T52" i="8" s="1"/>
  <c r="E55" i="8"/>
  <c r="F4" i="7" s="1"/>
  <c r="E52" i="8" s="1"/>
  <c r="I55" i="8"/>
  <c r="J4" i="7" s="1"/>
  <c r="I52" i="8" s="1"/>
  <c r="M55" i="8"/>
  <c r="N4" i="7" s="1"/>
  <c r="M52" i="8" s="1"/>
  <c r="Q55" i="8"/>
  <c r="R4" i="7" s="1"/>
  <c r="Q52" i="8" s="1"/>
  <c r="U55" i="8"/>
  <c r="V4" i="7" s="1"/>
  <c r="U52" i="8" s="1"/>
  <c r="Y55" i="8"/>
  <c r="Z4" i="7" s="1"/>
  <c r="Y52" i="8" s="1"/>
  <c r="J55" i="8"/>
  <c r="K4" i="7" s="1"/>
  <c r="J52" i="8" s="1"/>
  <c r="N55" i="8"/>
  <c r="O4" i="7" s="1"/>
  <c r="N52" i="8" s="1"/>
  <c r="B55" i="8"/>
  <c r="C4" i="7" s="1"/>
  <c r="B52" i="8" s="1"/>
  <c r="R55" i="8"/>
  <c r="S4" i="7" s="1"/>
  <c r="R52" i="8" s="1"/>
  <c r="F55" i="8"/>
  <c r="G4" i="7" s="1"/>
  <c r="F52" i="8" s="1"/>
  <c r="V55" i="8"/>
  <c r="W4" i="7" s="1"/>
  <c r="V52" i="8" s="1"/>
  <c r="H238" i="4"/>
  <c r="D21" i="5"/>
  <c r="C40" i="8" s="1"/>
  <c r="J6" i="5"/>
  <c r="I116" i="1" s="1"/>
  <c r="J11" i="5"/>
  <c r="C9" i="6"/>
  <c r="D12" i="6"/>
  <c r="D24" i="5"/>
  <c r="D37" i="8"/>
  <c r="F3" i="7"/>
  <c r="J3" i="7"/>
  <c r="N3" i="7"/>
  <c r="R3" i="7"/>
  <c r="V3" i="7"/>
  <c r="Z3" i="7"/>
  <c r="D3" i="7"/>
  <c r="I3" i="7"/>
  <c r="O3" i="7"/>
  <c r="T3" i="7"/>
  <c r="Y3" i="7"/>
  <c r="E3" i="7"/>
  <c r="K3" i="7"/>
  <c r="P3" i="7"/>
  <c r="U3" i="7"/>
  <c r="G3" i="7"/>
  <c r="L3" i="7"/>
  <c r="Q3" i="7"/>
  <c r="W3" i="7"/>
  <c r="C3" i="7"/>
  <c r="X3" i="7"/>
  <c r="S3" i="7"/>
  <c r="H3" i="7"/>
  <c r="M3" i="7"/>
  <c r="L6" i="5"/>
  <c r="K116" i="1" s="1"/>
  <c r="L11" i="5"/>
  <c r="G3" i="5"/>
  <c r="C2" i="5"/>
  <c r="C10" i="6"/>
  <c r="E34" i="8"/>
  <c r="D241" i="4"/>
  <c r="C242" i="4"/>
  <c r="D235" i="4"/>
  <c r="C236" i="4"/>
  <c r="D22" i="5"/>
  <c r="C41" i="8" s="1"/>
  <c r="F35" i="8"/>
  <c r="E3" i="5"/>
  <c r="E216" i="4" l="1"/>
  <c r="E13" i="6" s="1"/>
  <c r="M7" i="5"/>
  <c r="C244" i="4"/>
  <c r="C18" i="7" s="1"/>
  <c r="C19" i="7" s="1"/>
  <c r="E7" i="5"/>
  <c r="D3" i="6"/>
  <c r="C33" i="1" s="1"/>
  <c r="H116" i="1"/>
  <c r="I7" i="5"/>
  <c r="M3" i="6"/>
  <c r="L33" i="1" s="1"/>
  <c r="P3" i="6"/>
  <c r="O33" i="1" s="1"/>
  <c r="V3" i="6"/>
  <c r="U33" i="1" s="1"/>
  <c r="J7" i="5"/>
  <c r="F3" i="6"/>
  <c r="E33" i="1" s="1"/>
  <c r="Q3" i="6"/>
  <c r="P33" i="1" s="1"/>
  <c r="T3" i="6"/>
  <c r="S33" i="1" s="1"/>
  <c r="W3" i="6"/>
  <c r="V33" i="1" s="1"/>
  <c r="K3" i="6"/>
  <c r="J33" i="1" s="1"/>
  <c r="F7" i="5"/>
  <c r="H7" i="5"/>
  <c r="D7" i="5"/>
  <c r="N7" i="5"/>
  <c r="G7" i="5"/>
  <c r="D10" i="6"/>
  <c r="E22" i="5"/>
  <c r="D41" i="8" s="1"/>
  <c r="D9" i="6"/>
  <c r="E21" i="5"/>
  <c r="D40" i="8" s="1"/>
  <c r="F21" i="5" s="1"/>
  <c r="G35" i="8"/>
  <c r="D236" i="4"/>
  <c r="E235" i="4"/>
  <c r="F34" i="8"/>
  <c r="C6" i="5"/>
  <c r="B116" i="1" s="1"/>
  <c r="C11" i="5"/>
  <c r="U3" i="6"/>
  <c r="T33" i="1" s="1"/>
  <c r="W51" i="8"/>
  <c r="W50" i="8" s="1"/>
  <c r="K51" i="8"/>
  <c r="K50" i="8" s="1"/>
  <c r="J51" i="8"/>
  <c r="J50" i="8" s="1"/>
  <c r="N51" i="8"/>
  <c r="N50" i="8" s="1"/>
  <c r="U51" i="8"/>
  <c r="U50" i="8" s="1"/>
  <c r="E51" i="8"/>
  <c r="E50" i="8" s="1"/>
  <c r="Z3" i="6"/>
  <c r="Y33" i="1" s="1"/>
  <c r="X3" i="6"/>
  <c r="W33" i="1" s="1"/>
  <c r="F21" i="6"/>
  <c r="D19" i="5"/>
  <c r="E20" i="6"/>
  <c r="F226" i="4"/>
  <c r="E230" i="4"/>
  <c r="E247" i="4"/>
  <c r="K12" i="5"/>
  <c r="K9" i="5" s="1"/>
  <c r="K6" i="7" s="1"/>
  <c r="F12" i="5"/>
  <c r="F9" i="5" s="1"/>
  <c r="F6" i="7" s="1"/>
  <c r="E117" i="1" s="1"/>
  <c r="H12" i="5"/>
  <c r="H9" i="5" s="1"/>
  <c r="H6" i="7" s="1"/>
  <c r="D12" i="5"/>
  <c r="D9" i="5" s="1"/>
  <c r="D6" i="7" s="1"/>
  <c r="C117" i="1" s="1"/>
  <c r="N12" i="5"/>
  <c r="N9" i="5" s="1"/>
  <c r="N6" i="7" s="1"/>
  <c r="L12" i="5"/>
  <c r="L9" i="5" s="1"/>
  <c r="L6" i="7" s="1"/>
  <c r="K117" i="1" s="1"/>
  <c r="L51" i="8"/>
  <c r="L50" i="8" s="1"/>
  <c r="B51" i="8"/>
  <c r="B50" i="8" s="1"/>
  <c r="C3" i="6"/>
  <c r="B33" i="1" s="1"/>
  <c r="F51" i="8"/>
  <c r="F50" i="8" s="1"/>
  <c r="D51" i="8"/>
  <c r="D50" i="8" s="1"/>
  <c r="H51" i="8"/>
  <c r="H50" i="8" s="1"/>
  <c r="Q51" i="8"/>
  <c r="Q50" i="8" s="1"/>
  <c r="O3" i="6"/>
  <c r="N33" i="1" s="1"/>
  <c r="J12" i="5"/>
  <c r="J9" i="5" s="1"/>
  <c r="J6" i="7" s="1"/>
  <c r="I117" i="1" s="1"/>
  <c r="G20" i="5"/>
  <c r="G33" i="8"/>
  <c r="E11" i="6"/>
  <c r="E36" i="8"/>
  <c r="E23" i="5"/>
  <c r="K7" i="5"/>
  <c r="H6" i="8"/>
  <c r="E40" i="4" s="1"/>
  <c r="G7" i="8"/>
  <c r="Y3" i="6"/>
  <c r="X33" i="1" s="1"/>
  <c r="E3" i="6"/>
  <c r="D33" i="1" s="1"/>
  <c r="E241" i="4"/>
  <c r="D242" i="4"/>
  <c r="L7" i="5"/>
  <c r="G51" i="8"/>
  <c r="G50" i="8" s="1"/>
  <c r="V51" i="8"/>
  <c r="V50" i="8" s="1"/>
  <c r="T51" i="8"/>
  <c r="T50" i="8" s="1"/>
  <c r="X51" i="8"/>
  <c r="X50" i="8" s="1"/>
  <c r="C51" i="8"/>
  <c r="C50" i="8" s="1"/>
  <c r="M51" i="8"/>
  <c r="M50" i="8" s="1"/>
  <c r="E12" i="6"/>
  <c r="E37" i="8"/>
  <c r="E24" i="5"/>
  <c r="L3" i="6"/>
  <c r="K33" i="1" s="1"/>
  <c r="C8" i="1"/>
  <c r="C112" i="1"/>
  <c r="D1" i="6"/>
  <c r="D62" i="4"/>
  <c r="D84" i="4"/>
  <c r="D106" i="4"/>
  <c r="D135" i="4"/>
  <c r="D224" i="4"/>
  <c r="D202" i="4"/>
  <c r="D210" i="4"/>
  <c r="D1" i="7"/>
  <c r="D1" i="5"/>
  <c r="R3" i="6"/>
  <c r="Q33" i="1" s="1"/>
  <c r="H3" i="6"/>
  <c r="G33" i="1" s="1"/>
  <c r="R51" i="8"/>
  <c r="R50" i="8" s="1"/>
  <c r="P51" i="8"/>
  <c r="P50" i="8" s="1"/>
  <c r="O51" i="8"/>
  <c r="O50" i="8" s="1"/>
  <c r="S51" i="8"/>
  <c r="S50" i="8" s="1"/>
  <c r="Y51" i="8"/>
  <c r="Y50" i="8" s="1"/>
  <c r="I51" i="8"/>
  <c r="I50" i="8" s="1"/>
  <c r="J3" i="6"/>
  <c r="I33" i="1" s="1"/>
  <c r="S3" i="6"/>
  <c r="R33" i="1" s="1"/>
  <c r="I238" i="4"/>
  <c r="F4" i="6"/>
  <c r="E32" i="1" s="1"/>
  <c r="J4" i="6"/>
  <c r="I32" i="1" s="1"/>
  <c r="N4" i="6"/>
  <c r="M32" i="1" s="1"/>
  <c r="R4" i="6"/>
  <c r="Q32" i="1" s="1"/>
  <c r="V4" i="6"/>
  <c r="U32" i="1" s="1"/>
  <c r="Z4" i="6"/>
  <c r="Y32" i="1" s="1"/>
  <c r="C4" i="6"/>
  <c r="B32" i="1" s="1"/>
  <c r="G4" i="6"/>
  <c r="F32" i="1" s="1"/>
  <c r="K4" i="6"/>
  <c r="J32" i="1" s="1"/>
  <c r="O4" i="6"/>
  <c r="N32" i="1" s="1"/>
  <c r="S4" i="6"/>
  <c r="R32" i="1" s="1"/>
  <c r="W4" i="6"/>
  <c r="V32" i="1" s="1"/>
  <c r="C17" i="6"/>
  <c r="C19" i="6" s="1"/>
  <c r="G17" i="6"/>
  <c r="G19" i="6" s="1"/>
  <c r="K17" i="6"/>
  <c r="K19" i="6" s="1"/>
  <c r="O17" i="6"/>
  <c r="O19" i="6" s="1"/>
  <c r="S17" i="6"/>
  <c r="S19" i="6" s="1"/>
  <c r="D4" i="6"/>
  <c r="C32" i="1" s="1"/>
  <c r="L4" i="6"/>
  <c r="K32" i="1" s="1"/>
  <c r="T4" i="6"/>
  <c r="S32" i="1" s="1"/>
  <c r="D17" i="6"/>
  <c r="D19" i="6" s="1"/>
  <c r="I17" i="6"/>
  <c r="I19" i="6" s="1"/>
  <c r="N17" i="6"/>
  <c r="N19" i="6" s="1"/>
  <c r="T17" i="6"/>
  <c r="T19" i="6" s="1"/>
  <c r="X17" i="6"/>
  <c r="X19" i="6" s="1"/>
  <c r="E4" i="6"/>
  <c r="D32" i="1" s="1"/>
  <c r="M4" i="6"/>
  <c r="L32" i="1" s="1"/>
  <c r="U4" i="6"/>
  <c r="T32" i="1" s="1"/>
  <c r="E17" i="6"/>
  <c r="E19" i="6" s="1"/>
  <c r="J17" i="6"/>
  <c r="J19" i="6" s="1"/>
  <c r="P17" i="6"/>
  <c r="P19" i="6" s="1"/>
  <c r="U17" i="6"/>
  <c r="U19" i="6" s="1"/>
  <c r="Y17" i="6"/>
  <c r="Y19" i="6" s="1"/>
  <c r="I4" i="6"/>
  <c r="H32" i="1" s="1"/>
  <c r="Y4" i="6"/>
  <c r="X32" i="1" s="1"/>
  <c r="M17" i="6"/>
  <c r="M19" i="6" s="1"/>
  <c r="W17" i="6"/>
  <c r="W19" i="6" s="1"/>
  <c r="P4" i="6"/>
  <c r="O32" i="1" s="1"/>
  <c r="F17" i="6"/>
  <c r="F19" i="6" s="1"/>
  <c r="Q17" i="6"/>
  <c r="Q19" i="6" s="1"/>
  <c r="Z17" i="6"/>
  <c r="Z19" i="6" s="1"/>
  <c r="Q4" i="6"/>
  <c r="P32" i="1" s="1"/>
  <c r="H17" i="6"/>
  <c r="H19" i="6" s="1"/>
  <c r="R17" i="6"/>
  <c r="R19" i="6" s="1"/>
  <c r="H4" i="6"/>
  <c r="G32" i="1" s="1"/>
  <c r="X4" i="6"/>
  <c r="W32" i="1" s="1"/>
  <c r="L17" i="6"/>
  <c r="L19" i="6" s="1"/>
  <c r="V17" i="6"/>
  <c r="V19" i="6" s="1"/>
  <c r="N3" i="6"/>
  <c r="M33" i="1" s="1"/>
  <c r="C39" i="8"/>
  <c r="C8" i="6"/>
  <c r="C7" i="6" s="1"/>
  <c r="G3" i="6"/>
  <c r="F33" i="1" s="1"/>
  <c r="G12" i="5"/>
  <c r="G9" i="5" s="1"/>
  <c r="G6" i="7" s="1"/>
  <c r="F117" i="1" s="1"/>
  <c r="I3" i="6"/>
  <c r="H33" i="1" s="1"/>
  <c r="C25" i="5" l="1"/>
  <c r="B21" i="1" s="1"/>
  <c r="F216" i="4"/>
  <c r="F13" i="6" s="1"/>
  <c r="D244" i="4"/>
  <c r="C7" i="5"/>
  <c r="G117" i="1"/>
  <c r="M117" i="1"/>
  <c r="E10" i="6"/>
  <c r="F22" i="5"/>
  <c r="J117" i="1"/>
  <c r="U11" i="1"/>
  <c r="U13" i="1"/>
  <c r="U12" i="1"/>
  <c r="T11" i="1"/>
  <c r="T12" i="1"/>
  <c r="T13" i="1"/>
  <c r="P114" i="1"/>
  <c r="K11" i="1"/>
  <c r="K12" i="1"/>
  <c r="K13" i="1"/>
  <c r="E11" i="1"/>
  <c r="E13" i="1"/>
  <c r="E12" i="1"/>
  <c r="O11" i="1"/>
  <c r="O12" i="1"/>
  <c r="O13" i="1"/>
  <c r="M12" i="1"/>
  <c r="M11" i="1"/>
  <c r="M13" i="1"/>
  <c r="J11" i="1"/>
  <c r="J12" i="1"/>
  <c r="J13" i="1"/>
  <c r="S114" i="1"/>
  <c r="C114" i="1"/>
  <c r="T114" i="1"/>
  <c r="G114" i="1"/>
  <c r="F11" i="6"/>
  <c r="F23" i="5"/>
  <c r="F36" i="8"/>
  <c r="Q114" i="1"/>
  <c r="U114" i="1"/>
  <c r="J114" i="1"/>
  <c r="H35" i="8"/>
  <c r="Q11" i="1"/>
  <c r="Q12" i="1"/>
  <c r="Q13" i="1"/>
  <c r="L11" i="1"/>
  <c r="L12" i="1"/>
  <c r="L13" i="1"/>
  <c r="S11" i="1"/>
  <c r="S12" i="1"/>
  <c r="S13" i="1"/>
  <c r="I114" i="1"/>
  <c r="F12" i="6"/>
  <c r="F24" i="5"/>
  <c r="F37" i="8"/>
  <c r="G11" i="1"/>
  <c r="G12" i="1"/>
  <c r="G13" i="1"/>
  <c r="D39" i="8"/>
  <c r="D8" i="6"/>
  <c r="D7" i="6" s="1"/>
  <c r="H11" i="1"/>
  <c r="H12" i="1"/>
  <c r="H13" i="1"/>
  <c r="F11" i="1"/>
  <c r="F12" i="1"/>
  <c r="F13" i="1"/>
  <c r="Y114" i="1"/>
  <c r="R114" i="1"/>
  <c r="M114" i="1"/>
  <c r="V114" i="1"/>
  <c r="D114" i="1"/>
  <c r="B114" i="1"/>
  <c r="W114" i="1"/>
  <c r="E40" i="8"/>
  <c r="G21" i="5" s="1"/>
  <c r="E9" i="6"/>
  <c r="P11" i="1"/>
  <c r="P12" i="1"/>
  <c r="P13" i="1"/>
  <c r="N11" i="1"/>
  <c r="N12" i="1"/>
  <c r="N13" i="1"/>
  <c r="J238" i="4"/>
  <c r="F241" i="4"/>
  <c r="E242" i="4"/>
  <c r="C15" i="6"/>
  <c r="C8" i="5"/>
  <c r="B115" i="1" s="1"/>
  <c r="I12" i="1"/>
  <c r="I13" i="1"/>
  <c r="I11" i="1"/>
  <c r="Y11" i="1"/>
  <c r="Y12" i="1"/>
  <c r="Y13" i="1"/>
  <c r="V11" i="1"/>
  <c r="V12" i="1"/>
  <c r="V13" i="1"/>
  <c r="X11" i="1"/>
  <c r="X12" i="1"/>
  <c r="X13" i="1"/>
  <c r="D11" i="1"/>
  <c r="D12" i="1"/>
  <c r="D13" i="1"/>
  <c r="W11" i="1"/>
  <c r="W12" i="1"/>
  <c r="W13" i="1"/>
  <c r="C11" i="1"/>
  <c r="C12" i="1"/>
  <c r="C13" i="1"/>
  <c r="R11" i="1"/>
  <c r="R12" i="1"/>
  <c r="R13" i="1"/>
  <c r="B11" i="1"/>
  <c r="B12" i="1"/>
  <c r="B13" i="1"/>
  <c r="O114" i="1"/>
  <c r="D18" i="7"/>
  <c r="D19" i="7" s="1"/>
  <c r="D25" i="5"/>
  <c r="C21" i="1" s="1"/>
  <c r="X114" i="1"/>
  <c r="H7" i="8"/>
  <c r="F40" i="4" s="1"/>
  <c r="G8" i="8"/>
  <c r="H20" i="5"/>
  <c r="H33" i="8"/>
  <c r="F114" i="1"/>
  <c r="G21" i="6"/>
  <c r="E114" i="1"/>
  <c r="N114" i="1"/>
  <c r="K114" i="1"/>
  <c r="F235" i="4"/>
  <c r="E236" i="4"/>
  <c r="D8" i="1"/>
  <c r="D112" i="1"/>
  <c r="E1" i="6"/>
  <c r="E62" i="4"/>
  <c r="E84" i="4"/>
  <c r="E106" i="4"/>
  <c r="E135" i="4"/>
  <c r="E224" i="4"/>
  <c r="E202" i="4"/>
  <c r="E210" i="4"/>
  <c r="E1" i="7"/>
  <c r="E1" i="5"/>
  <c r="H114" i="1"/>
  <c r="L114" i="1"/>
  <c r="F230" i="4"/>
  <c r="F247" i="4"/>
  <c r="G226" i="4"/>
  <c r="F20" i="6"/>
  <c r="C12" i="5"/>
  <c r="C9" i="5" s="1"/>
  <c r="C6" i="7" s="1"/>
  <c r="G34" i="8"/>
  <c r="E19" i="5"/>
  <c r="G216" i="4" l="1"/>
  <c r="G13" i="6" s="1"/>
  <c r="E244" i="4"/>
  <c r="E18" i="7" s="1"/>
  <c r="E19" i="7" s="1"/>
  <c r="B117" i="1"/>
  <c r="E8" i="1"/>
  <c r="F1" i="6"/>
  <c r="F1" i="7"/>
  <c r="F224" i="4"/>
  <c r="F135" i="4"/>
  <c r="F210" i="4"/>
  <c r="F1" i="5"/>
  <c r="E112" i="1"/>
  <c r="F106" i="4"/>
  <c r="F84" i="4"/>
  <c r="F202" i="4"/>
  <c r="F62" i="4"/>
  <c r="E39" i="8"/>
  <c r="E8" i="6"/>
  <c r="E7" i="6" s="1"/>
  <c r="G11" i="6"/>
  <c r="G23" i="5"/>
  <c r="G36" i="8"/>
  <c r="F19" i="5"/>
  <c r="I33" i="8"/>
  <c r="I20" i="5"/>
  <c r="D15" i="6"/>
  <c r="D8" i="5"/>
  <c r="H34" i="8"/>
  <c r="G20" i="6"/>
  <c r="G230" i="4"/>
  <c r="H226" i="4"/>
  <c r="G247" i="4"/>
  <c r="G241" i="4"/>
  <c r="F242" i="4"/>
  <c r="F40" i="8"/>
  <c r="H21" i="5" s="1"/>
  <c r="F9" i="6"/>
  <c r="G12" i="6"/>
  <c r="G24" i="5"/>
  <c r="G37" i="8"/>
  <c r="C18" i="5"/>
  <c r="C26" i="5" s="1"/>
  <c r="F236" i="4"/>
  <c r="G235" i="4"/>
  <c r="H21" i="6"/>
  <c r="B20" i="1"/>
  <c r="B30" i="1"/>
  <c r="K238" i="4"/>
  <c r="G9" i="8"/>
  <c r="H8" i="8"/>
  <c r="G40" i="4" s="1"/>
  <c r="I35" i="8"/>
  <c r="E41" i="8"/>
  <c r="H216" i="4" l="1"/>
  <c r="H13" i="6" s="1"/>
  <c r="E25" i="5"/>
  <c r="D21" i="1" s="1"/>
  <c r="F244" i="4"/>
  <c r="F25" i="5" s="1"/>
  <c r="E21" i="1" s="1"/>
  <c r="H241" i="4"/>
  <c r="G242" i="4"/>
  <c r="H11" i="6"/>
  <c r="H23" i="5"/>
  <c r="H36" i="8"/>
  <c r="F10" i="6"/>
  <c r="G22" i="5"/>
  <c r="G19" i="5" s="1"/>
  <c r="C27" i="5"/>
  <c r="C28" i="5" s="1"/>
  <c r="B26" i="1" s="1"/>
  <c r="C115" i="1"/>
  <c r="D18" i="5"/>
  <c r="D26" i="5" s="1"/>
  <c r="F8" i="1"/>
  <c r="F112" i="1"/>
  <c r="G1" i="6"/>
  <c r="G62" i="4"/>
  <c r="G84" i="4"/>
  <c r="G106" i="4"/>
  <c r="G135" i="4"/>
  <c r="G202" i="4"/>
  <c r="G210" i="4"/>
  <c r="G1" i="7"/>
  <c r="G1" i="5"/>
  <c r="G224" i="4"/>
  <c r="H9" i="8"/>
  <c r="H40" i="4" s="1"/>
  <c r="G10" i="8"/>
  <c r="I21" i="6"/>
  <c r="H12" i="6"/>
  <c r="H24" i="5"/>
  <c r="H37" i="8"/>
  <c r="G40" i="8"/>
  <c r="I21" i="5" s="1"/>
  <c r="G9" i="6"/>
  <c r="I34" i="8"/>
  <c r="C20" i="1"/>
  <c r="C30" i="1"/>
  <c r="J20" i="5"/>
  <c r="J33" i="8"/>
  <c r="F39" i="8"/>
  <c r="F8" i="6"/>
  <c r="J35" i="8"/>
  <c r="L238" i="4"/>
  <c r="H235" i="4"/>
  <c r="G236" i="4"/>
  <c r="H20" i="6"/>
  <c r="H230" i="4"/>
  <c r="H247" i="4"/>
  <c r="I226" i="4"/>
  <c r="E15" i="6"/>
  <c r="E8" i="5"/>
  <c r="I216" i="4" l="1"/>
  <c r="C23" i="6"/>
  <c r="C24" i="6" s="1"/>
  <c r="B23" i="1"/>
  <c r="G244" i="4"/>
  <c r="G18" i="7" s="1"/>
  <c r="G19" i="7" s="1"/>
  <c r="F18" i="7"/>
  <c r="F19" i="7" s="1"/>
  <c r="F7" i="6"/>
  <c r="F15" i="6" s="1"/>
  <c r="F41" i="8"/>
  <c r="G10" i="6" s="1"/>
  <c r="D115" i="1"/>
  <c r="E18" i="5"/>
  <c r="E26" i="5" s="1"/>
  <c r="H236" i="4"/>
  <c r="I235" i="4"/>
  <c r="K20" i="5"/>
  <c r="K33" i="8"/>
  <c r="I12" i="6"/>
  <c r="I37" i="8"/>
  <c r="I24" i="5"/>
  <c r="M238" i="4"/>
  <c r="G11" i="8"/>
  <c r="H10" i="8"/>
  <c r="I40" i="4" s="1"/>
  <c r="D27" i="5"/>
  <c r="D28" i="5" s="1"/>
  <c r="B113" i="1"/>
  <c r="B118" i="1" s="1"/>
  <c r="B119" i="1" s="1"/>
  <c r="C7" i="7"/>
  <c r="C8" i="7" s="1"/>
  <c r="I11" i="6"/>
  <c r="I36" i="8"/>
  <c r="I23" i="5"/>
  <c r="I241" i="4"/>
  <c r="H242" i="4"/>
  <c r="D20" i="1"/>
  <c r="D30" i="1"/>
  <c r="J34" i="8"/>
  <c r="I20" i="6"/>
  <c r="J226" i="4"/>
  <c r="I247" i="4"/>
  <c r="I230" i="4"/>
  <c r="K35" i="8"/>
  <c r="G39" i="8"/>
  <c r="G8" i="6"/>
  <c r="G8" i="1"/>
  <c r="H62" i="4"/>
  <c r="H84" i="4"/>
  <c r="H106" i="4"/>
  <c r="H135" i="4"/>
  <c r="G112" i="1"/>
  <c r="H224" i="4"/>
  <c r="H1" i="6"/>
  <c r="H202" i="4"/>
  <c r="H210" i="4"/>
  <c r="H1" i="7"/>
  <c r="H1" i="5"/>
  <c r="H40" i="8"/>
  <c r="J21" i="5" s="1"/>
  <c r="H9" i="6"/>
  <c r="J21" i="6"/>
  <c r="J216" i="4"/>
  <c r="I13" i="6"/>
  <c r="G25" i="5" l="1"/>
  <c r="F21" i="1" s="1"/>
  <c r="C23" i="1"/>
  <c r="C26" i="1"/>
  <c r="D23" i="6"/>
  <c r="D24" i="6" s="1"/>
  <c r="F8" i="5"/>
  <c r="E115" i="1" s="1"/>
  <c r="H22" i="5"/>
  <c r="H19" i="5" s="1"/>
  <c r="G7" i="6"/>
  <c r="G15" i="6" s="1"/>
  <c r="H244" i="4"/>
  <c r="H25" i="5" s="1"/>
  <c r="G21" i="1" s="1"/>
  <c r="J11" i="6"/>
  <c r="J23" i="5"/>
  <c r="J36" i="8"/>
  <c r="B19" i="1"/>
  <c r="B24" i="1"/>
  <c r="B27" i="1"/>
  <c r="C25" i="6"/>
  <c r="H39" i="8"/>
  <c r="H8" i="6"/>
  <c r="K34" i="8"/>
  <c r="C113" i="1"/>
  <c r="C118" i="1" s="1"/>
  <c r="C119" i="1" s="1"/>
  <c r="D7" i="7"/>
  <c r="D8" i="7" s="1"/>
  <c r="E20" i="1"/>
  <c r="E30" i="1"/>
  <c r="J235" i="4"/>
  <c r="I236" i="4"/>
  <c r="L35" i="8"/>
  <c r="J241" i="4"/>
  <c r="I242" i="4"/>
  <c r="B35" i="1"/>
  <c r="B36" i="1" s="1"/>
  <c r="C21" i="7"/>
  <c r="C23" i="7" s="1"/>
  <c r="K21" i="6"/>
  <c r="H8" i="1"/>
  <c r="H112" i="1"/>
  <c r="I62" i="4"/>
  <c r="I84" i="4"/>
  <c r="I106" i="4"/>
  <c r="I135" i="4"/>
  <c r="I224" i="4"/>
  <c r="I1" i="6"/>
  <c r="I202" i="4"/>
  <c r="I210" i="4"/>
  <c r="I1" i="7"/>
  <c r="I1" i="5"/>
  <c r="N238" i="4"/>
  <c r="L20" i="5"/>
  <c r="L33" i="8"/>
  <c r="J13" i="6"/>
  <c r="K216" i="4"/>
  <c r="I40" i="8"/>
  <c r="K21" i="5" s="1"/>
  <c r="I9" i="6"/>
  <c r="J230" i="4"/>
  <c r="J247" i="4"/>
  <c r="J20" i="6"/>
  <c r="K226" i="4"/>
  <c r="H11" i="8"/>
  <c r="J40" i="4" s="1"/>
  <c r="G12" i="8"/>
  <c r="J12" i="6"/>
  <c r="J24" i="5"/>
  <c r="J37" i="8"/>
  <c r="E27" i="5"/>
  <c r="F18" i="5" l="1"/>
  <c r="F26" i="5" s="1"/>
  <c r="F27" i="5" s="1"/>
  <c r="F28" i="5" s="1"/>
  <c r="G41" i="8"/>
  <c r="I22" i="5" s="1"/>
  <c r="I19" i="5" s="1"/>
  <c r="G8" i="5"/>
  <c r="F115" i="1" s="1"/>
  <c r="I244" i="4"/>
  <c r="I18" i="7" s="1"/>
  <c r="I19" i="7" s="1"/>
  <c r="H18" i="7"/>
  <c r="H19" i="7" s="1"/>
  <c r="C35" i="1"/>
  <c r="C36" i="1" s="1"/>
  <c r="D21" i="7"/>
  <c r="D113" i="1"/>
  <c r="D118" i="1" s="1"/>
  <c r="D119" i="1" s="1"/>
  <c r="E7" i="7"/>
  <c r="E8" i="7" s="1"/>
  <c r="M33" i="8"/>
  <c r="M20" i="5"/>
  <c r="O238" i="4"/>
  <c r="K11" i="6"/>
  <c r="K23" i="5"/>
  <c r="K36" i="8"/>
  <c r="F20" i="1"/>
  <c r="F30" i="1"/>
  <c r="K12" i="6"/>
  <c r="K24" i="5"/>
  <c r="K37" i="8"/>
  <c r="K13" i="6"/>
  <c r="L216" i="4"/>
  <c r="L21" i="6"/>
  <c r="K230" i="4"/>
  <c r="K20" i="6"/>
  <c r="L226" i="4"/>
  <c r="K247" i="4"/>
  <c r="C2" i="6"/>
  <c r="C6" i="6" s="1"/>
  <c r="D22" i="7"/>
  <c r="M35" i="8"/>
  <c r="J236" i="4"/>
  <c r="K235" i="4"/>
  <c r="B16" i="1"/>
  <c r="B17" i="1"/>
  <c r="B18" i="1"/>
  <c r="C19" i="1"/>
  <c r="C24" i="1"/>
  <c r="C27" i="1"/>
  <c r="D25" i="6"/>
  <c r="J40" i="8"/>
  <c r="L21" i="5" s="1"/>
  <c r="J9" i="6"/>
  <c r="B37" i="1"/>
  <c r="G13" i="8"/>
  <c r="H12" i="8"/>
  <c r="K40" i="4" s="1"/>
  <c r="E28" i="5"/>
  <c r="D26" i="1" s="1"/>
  <c r="J1" i="6"/>
  <c r="I112" i="1"/>
  <c r="I8" i="1"/>
  <c r="J1" i="7"/>
  <c r="J62" i="4"/>
  <c r="J84" i="4"/>
  <c r="J106" i="4"/>
  <c r="J135" i="4"/>
  <c r="J224" i="4"/>
  <c r="J1" i="5"/>
  <c r="J210" i="4"/>
  <c r="J202" i="4"/>
  <c r="K241" i="4"/>
  <c r="J242" i="4"/>
  <c r="L34" i="8"/>
  <c r="I39" i="8"/>
  <c r="I8" i="6"/>
  <c r="H10" i="6" l="1"/>
  <c r="H7" i="6" s="1"/>
  <c r="H15" i="6" s="1"/>
  <c r="J244" i="4"/>
  <c r="J18" i="7" s="1"/>
  <c r="J19" i="7" s="1"/>
  <c r="I25" i="5"/>
  <c r="H21" i="1" s="1"/>
  <c r="G18" i="5"/>
  <c r="G26" i="5" s="1"/>
  <c r="G27" i="5" s="1"/>
  <c r="G28" i="5" s="1"/>
  <c r="E23" i="1"/>
  <c r="E26" i="1"/>
  <c r="E23" i="6"/>
  <c r="E24" i="6" s="1"/>
  <c r="D23" i="1"/>
  <c r="D23" i="7"/>
  <c r="D2" i="6" s="1"/>
  <c r="D6" i="6" s="1"/>
  <c r="C37" i="1"/>
  <c r="B29" i="8"/>
  <c r="B14" i="1"/>
  <c r="B29" i="1" s="1"/>
  <c r="B25" i="1"/>
  <c r="C16" i="6"/>
  <c r="L13" i="6"/>
  <c r="M216" i="4"/>
  <c r="L11" i="6"/>
  <c r="L23" i="5"/>
  <c r="L36" i="8"/>
  <c r="D35" i="1"/>
  <c r="D36" i="1" s="1"/>
  <c r="E21" i="7"/>
  <c r="M34" i="8"/>
  <c r="L241" i="4"/>
  <c r="K242" i="4"/>
  <c r="E113" i="1"/>
  <c r="E118" i="1" s="1"/>
  <c r="E119" i="1" s="1"/>
  <c r="F7" i="7"/>
  <c r="F8" i="7" s="1"/>
  <c r="H41" i="8"/>
  <c r="L235" i="4"/>
  <c r="K236" i="4"/>
  <c r="J39" i="8"/>
  <c r="J8" i="6"/>
  <c r="N35" i="8"/>
  <c r="J8" i="1"/>
  <c r="J112" i="1"/>
  <c r="K1" i="6"/>
  <c r="K202" i="4"/>
  <c r="K210" i="4"/>
  <c r="K62" i="4"/>
  <c r="K84" i="4"/>
  <c r="K106" i="4"/>
  <c r="K135" i="4"/>
  <c r="K224" i="4"/>
  <c r="K1" i="5"/>
  <c r="K1" i="7"/>
  <c r="K40" i="8"/>
  <c r="M21" i="5" s="1"/>
  <c r="K9" i="6"/>
  <c r="C16" i="1"/>
  <c r="C17" i="1"/>
  <c r="C18" i="1"/>
  <c r="L20" i="6"/>
  <c r="L230" i="4"/>
  <c r="L247" i="4"/>
  <c r="M226" i="4"/>
  <c r="L12" i="6"/>
  <c r="L24" i="5"/>
  <c r="L37" i="8"/>
  <c r="N20" i="5"/>
  <c r="N33" i="8"/>
  <c r="H13" i="8"/>
  <c r="L40" i="4" s="1"/>
  <c r="G14" i="8"/>
  <c r="M21" i="6"/>
  <c r="P238" i="4"/>
  <c r="H8" i="5" l="1"/>
  <c r="G115" i="1" s="1"/>
  <c r="J25" i="5"/>
  <c r="I21" i="1" s="1"/>
  <c r="F23" i="1"/>
  <c r="F26" i="1"/>
  <c r="F23" i="6"/>
  <c r="G23" i="6" s="1"/>
  <c r="E22" i="7"/>
  <c r="E23" i="7" s="1"/>
  <c r="E2" i="6" s="1"/>
  <c r="E6" i="6" s="1"/>
  <c r="K244" i="4"/>
  <c r="K18" i="7" s="1"/>
  <c r="K19" i="7" s="1"/>
  <c r="E35" i="1"/>
  <c r="E36" i="1" s="1"/>
  <c r="F21" i="7"/>
  <c r="M20" i="6"/>
  <c r="N226" i="4"/>
  <c r="M230" i="4"/>
  <c r="M247" i="4"/>
  <c r="O35" i="8"/>
  <c r="K39" i="8"/>
  <c r="K8" i="6"/>
  <c r="N34" i="8"/>
  <c r="M11" i="6"/>
  <c r="M36" i="8"/>
  <c r="M23" i="5"/>
  <c r="G20" i="1"/>
  <c r="G30" i="1"/>
  <c r="M13" i="6"/>
  <c r="N216" i="4"/>
  <c r="Q238" i="4"/>
  <c r="H14" i="8"/>
  <c r="M40" i="4" s="1"/>
  <c r="G15" i="8"/>
  <c r="M12" i="6"/>
  <c r="M37" i="8"/>
  <c r="M24" i="5"/>
  <c r="C14" i="1"/>
  <c r="C29" i="1" s="1"/>
  <c r="C25" i="1"/>
  <c r="D16" i="6"/>
  <c r="C31" i="1" s="1"/>
  <c r="L236" i="4"/>
  <c r="M235" i="4"/>
  <c r="B31" i="1"/>
  <c r="D37" i="1"/>
  <c r="C29" i="8"/>
  <c r="D19" i="1"/>
  <c r="D24" i="1"/>
  <c r="D27" i="1"/>
  <c r="E25" i="6"/>
  <c r="N21" i="6"/>
  <c r="K8" i="1"/>
  <c r="K112" i="1"/>
  <c r="L1" i="6"/>
  <c r="L62" i="4"/>
  <c r="L84" i="4"/>
  <c r="L106" i="4"/>
  <c r="L135" i="4"/>
  <c r="L224" i="4"/>
  <c r="L202" i="4"/>
  <c r="L210" i="4"/>
  <c r="L1" i="7"/>
  <c r="L1" i="5"/>
  <c r="O20" i="5"/>
  <c r="O33" i="8"/>
  <c r="L40" i="8"/>
  <c r="L9" i="6"/>
  <c r="F113" i="1"/>
  <c r="F118" i="1" s="1"/>
  <c r="F119" i="1" s="1"/>
  <c r="G7" i="7"/>
  <c r="G8" i="7" s="1"/>
  <c r="I10" i="6"/>
  <c r="I7" i="6" s="1"/>
  <c r="J22" i="5"/>
  <c r="J19" i="5" s="1"/>
  <c r="M241" i="4"/>
  <c r="L242" i="4"/>
  <c r="H18" i="5" l="1"/>
  <c r="H26" i="5" s="1"/>
  <c r="H27" i="5" s="1"/>
  <c r="K25" i="5"/>
  <c r="J21" i="1" s="1"/>
  <c r="F24" i="6"/>
  <c r="E24" i="1" s="1"/>
  <c r="F22" i="7"/>
  <c r="F23" i="7" s="1"/>
  <c r="F2" i="6" s="1"/>
  <c r="F6" i="6" s="1"/>
  <c r="L244" i="4"/>
  <c r="L18" i="7" s="1"/>
  <c r="L19" i="7" s="1"/>
  <c r="P20" i="5"/>
  <c r="P33" i="8"/>
  <c r="I15" i="6"/>
  <c r="I8" i="5"/>
  <c r="N12" i="6"/>
  <c r="N24" i="5"/>
  <c r="N37" i="8"/>
  <c r="R238" i="4"/>
  <c r="L8" i="1"/>
  <c r="L112" i="1"/>
  <c r="M1" i="6"/>
  <c r="M62" i="4"/>
  <c r="M84" i="4"/>
  <c r="M106" i="4"/>
  <c r="M135" i="4"/>
  <c r="M224" i="4"/>
  <c r="M202" i="4"/>
  <c r="M210" i="4"/>
  <c r="M1" i="7"/>
  <c r="M1" i="5"/>
  <c r="N11" i="6"/>
  <c r="N23" i="5"/>
  <c r="N36" i="8"/>
  <c r="D14" i="1"/>
  <c r="D29" i="1" s="1"/>
  <c r="D25" i="1"/>
  <c r="E16" i="6"/>
  <c r="I41" i="8"/>
  <c r="M9" i="6"/>
  <c r="O34" i="8"/>
  <c r="L39" i="8"/>
  <c r="L8" i="6"/>
  <c r="G24" i="6"/>
  <c r="E37" i="1"/>
  <c r="D29" i="8"/>
  <c r="N241" i="4"/>
  <c r="M242" i="4"/>
  <c r="F35" i="1"/>
  <c r="F36" i="1" s="1"/>
  <c r="G21" i="7"/>
  <c r="O21" i="6"/>
  <c r="D16" i="1"/>
  <c r="D17" i="1"/>
  <c r="D18" i="1"/>
  <c r="N235" i="4"/>
  <c r="M236" i="4"/>
  <c r="H15" i="8"/>
  <c r="N40" i="4" s="1"/>
  <c r="G16" i="8"/>
  <c r="N13" i="6"/>
  <c r="O216" i="4"/>
  <c r="N21" i="5"/>
  <c r="M40" i="8" s="1"/>
  <c r="P35" i="8"/>
  <c r="N230" i="4"/>
  <c r="N247" i="4"/>
  <c r="O226" i="4"/>
  <c r="N20" i="6"/>
  <c r="M244" i="4" l="1"/>
  <c r="F25" i="6"/>
  <c r="E16" i="1" s="1"/>
  <c r="E27" i="1"/>
  <c r="E19" i="1"/>
  <c r="G22" i="7"/>
  <c r="G23" i="7" s="1"/>
  <c r="H22" i="7" s="1"/>
  <c r="L25" i="5"/>
  <c r="K21" i="1" s="1"/>
  <c r="N9" i="6"/>
  <c r="O21" i="5"/>
  <c r="M18" i="7"/>
  <c r="M19" i="7" s="1"/>
  <c r="M25" i="5"/>
  <c r="L21" i="1" s="1"/>
  <c r="N236" i="4"/>
  <c r="O235" i="4"/>
  <c r="M39" i="8"/>
  <c r="M8" i="6"/>
  <c r="H16" i="8"/>
  <c r="O40" i="4" s="1"/>
  <c r="G17" i="8"/>
  <c r="P21" i="6"/>
  <c r="O241" i="4"/>
  <c r="N242" i="4"/>
  <c r="P34" i="8"/>
  <c r="H20" i="1"/>
  <c r="H30" i="1"/>
  <c r="G113" i="1"/>
  <c r="G118" i="1" s="1"/>
  <c r="G119" i="1" s="1"/>
  <c r="H7" i="7"/>
  <c r="H8" i="7" s="1"/>
  <c r="H115" i="1"/>
  <c r="I18" i="5"/>
  <c r="I26" i="5" s="1"/>
  <c r="E14" i="1"/>
  <c r="E29" i="1" s="1"/>
  <c r="E25" i="1"/>
  <c r="F16" i="6"/>
  <c r="E31" i="1" s="1"/>
  <c r="M8" i="1"/>
  <c r="M112" i="1"/>
  <c r="N1" i="6"/>
  <c r="N1" i="7"/>
  <c r="N224" i="4"/>
  <c r="N62" i="4"/>
  <c r="N202" i="4"/>
  <c r="N1" i="5"/>
  <c r="N135" i="4"/>
  <c r="N106" i="4"/>
  <c r="N210" i="4"/>
  <c r="N84" i="4"/>
  <c r="J10" i="6"/>
  <c r="J7" i="6" s="1"/>
  <c r="K22" i="5"/>
  <c r="K19" i="5" s="1"/>
  <c r="O11" i="6"/>
  <c r="O23" i="5"/>
  <c r="O36" i="8"/>
  <c r="F19" i="1"/>
  <c r="F24" i="1"/>
  <c r="F27" i="1"/>
  <c r="G25" i="6"/>
  <c r="O12" i="6"/>
  <c r="O24" i="5"/>
  <c r="O37" i="8"/>
  <c r="O20" i="6"/>
  <c r="O230" i="4"/>
  <c r="P226" i="4"/>
  <c r="O247" i="4"/>
  <c r="H28" i="5"/>
  <c r="G26" i="1" s="1"/>
  <c r="Q35" i="8"/>
  <c r="O13" i="6"/>
  <c r="P216" i="4"/>
  <c r="F37" i="1"/>
  <c r="E29" i="8"/>
  <c r="D31" i="1"/>
  <c r="S238" i="4"/>
  <c r="Q33" i="8"/>
  <c r="Q20" i="5"/>
  <c r="E17" i="1" l="1"/>
  <c r="E18" i="1"/>
  <c r="H23" i="6"/>
  <c r="H24" i="6" s="1"/>
  <c r="G23" i="1"/>
  <c r="N244" i="4"/>
  <c r="N18" i="7" s="1"/>
  <c r="N19" i="7" s="1"/>
  <c r="G2" i="6"/>
  <c r="G6" i="6" s="1"/>
  <c r="G16" i="6" s="1"/>
  <c r="Q34" i="8"/>
  <c r="P241" i="4"/>
  <c r="O242" i="4"/>
  <c r="N8" i="1"/>
  <c r="N112" i="1"/>
  <c r="O1" i="6"/>
  <c r="O62" i="4"/>
  <c r="O84" i="4"/>
  <c r="O106" i="4"/>
  <c r="O135" i="4"/>
  <c r="O202" i="4"/>
  <c r="O210" i="4"/>
  <c r="O224" i="4"/>
  <c r="O1" i="5"/>
  <c r="O1" i="7"/>
  <c r="P235" i="4"/>
  <c r="O236" i="4"/>
  <c r="J15" i="6"/>
  <c r="J8" i="5"/>
  <c r="R20" i="5"/>
  <c r="R33" i="8"/>
  <c r="F29" i="8"/>
  <c r="R35" i="8"/>
  <c r="P12" i="6"/>
  <c r="P24" i="5"/>
  <c r="P37" i="8"/>
  <c r="J41" i="8"/>
  <c r="I27" i="5"/>
  <c r="P11" i="6"/>
  <c r="P23" i="5"/>
  <c r="P36" i="8"/>
  <c r="Q216" i="4"/>
  <c r="P13" i="6"/>
  <c r="P20" i="6"/>
  <c r="P230" i="4"/>
  <c r="Q226" i="4"/>
  <c r="P247" i="4"/>
  <c r="Q21" i="6"/>
  <c r="F16" i="1"/>
  <c r="F17" i="1"/>
  <c r="F18" i="1"/>
  <c r="T238" i="4"/>
  <c r="G35" i="1"/>
  <c r="G36" i="1" s="1"/>
  <c r="H21" i="7"/>
  <c r="H23" i="7" s="1"/>
  <c r="G18" i="8"/>
  <c r="H17" i="8"/>
  <c r="P40" i="4" s="1"/>
  <c r="N39" i="8"/>
  <c r="N8" i="6"/>
  <c r="N40" i="8"/>
  <c r="N25" i="5" l="1"/>
  <c r="M21" i="1" s="1"/>
  <c r="O244" i="4"/>
  <c r="F25" i="1"/>
  <c r="F14" i="1"/>
  <c r="F29" i="1" s="1"/>
  <c r="F31" i="1"/>
  <c r="G19" i="1"/>
  <c r="G27" i="1"/>
  <c r="G24" i="1"/>
  <c r="H25" i="6"/>
  <c r="Q20" i="6"/>
  <c r="R226" i="4"/>
  <c r="Q230" i="4"/>
  <c r="Q247" i="4"/>
  <c r="Q12" i="6"/>
  <c r="Q37" i="8"/>
  <c r="Q24" i="5"/>
  <c r="I30" i="1"/>
  <c r="I20" i="1"/>
  <c r="R34" i="8"/>
  <c r="O9" i="6"/>
  <c r="P21" i="5"/>
  <c r="R21" i="6"/>
  <c r="Q11" i="6"/>
  <c r="Q36" i="8"/>
  <c r="Q23" i="5"/>
  <c r="H113" i="1"/>
  <c r="H118" i="1" s="1"/>
  <c r="H119" i="1" s="1"/>
  <c r="I7" i="7"/>
  <c r="I8" i="7" s="1"/>
  <c r="Q13" i="6"/>
  <c r="R216" i="4"/>
  <c r="S20" i="5"/>
  <c r="S33" i="8"/>
  <c r="I28" i="5"/>
  <c r="H26" i="1" s="1"/>
  <c r="Q241" i="4"/>
  <c r="P242" i="4"/>
  <c r="G19" i="8"/>
  <c r="H18" i="8"/>
  <c r="Q40" i="4" s="1"/>
  <c r="H2" i="6"/>
  <c r="H6" i="6" s="1"/>
  <c r="I22" i="7"/>
  <c r="P236" i="4"/>
  <c r="Q235" i="4"/>
  <c r="O39" i="8"/>
  <c r="O8" i="6"/>
  <c r="O8" i="1"/>
  <c r="O112" i="1"/>
  <c r="P62" i="4"/>
  <c r="P84" i="4"/>
  <c r="P106" i="4"/>
  <c r="P224" i="4"/>
  <c r="P135" i="4"/>
  <c r="P202" i="4"/>
  <c r="P210" i="4"/>
  <c r="P1" i="6"/>
  <c r="P1" i="5"/>
  <c r="P1" i="7"/>
  <c r="O18" i="7"/>
  <c r="O19" i="7" s="1"/>
  <c r="O25" i="5"/>
  <c r="N21" i="1" s="1"/>
  <c r="U238" i="4"/>
  <c r="K10" i="6"/>
  <c r="K7" i="6" s="1"/>
  <c r="L22" i="5"/>
  <c r="L19" i="5" s="1"/>
  <c r="S35" i="8"/>
  <c r="G37" i="1"/>
  <c r="I115" i="1"/>
  <c r="J18" i="5"/>
  <c r="J26" i="5" s="1"/>
  <c r="I23" i="6" l="1"/>
  <c r="I24" i="6" s="1"/>
  <c r="H23" i="1"/>
  <c r="K41" i="8"/>
  <c r="L10" i="6" s="1"/>
  <c r="L7" i="6" s="1"/>
  <c r="P244" i="4"/>
  <c r="P25" i="5" s="1"/>
  <c r="O21" i="1" s="1"/>
  <c r="M22" i="5"/>
  <c r="M19" i="5" s="1"/>
  <c r="J27" i="5"/>
  <c r="J28" i="5" s="1"/>
  <c r="I26" i="1" s="1"/>
  <c r="S34" i="8"/>
  <c r="V238" i="4"/>
  <c r="H35" i="1"/>
  <c r="H36" i="1" s="1"/>
  <c r="H37" i="1" s="1"/>
  <c r="I21" i="7"/>
  <c r="I23" i="7" s="1"/>
  <c r="P39" i="8"/>
  <c r="P8" i="6"/>
  <c r="R13" i="6"/>
  <c r="S216" i="4"/>
  <c r="G16" i="1"/>
  <c r="G17" i="1"/>
  <c r="G18" i="1"/>
  <c r="P8" i="1"/>
  <c r="Q62" i="4"/>
  <c r="Q84" i="4"/>
  <c r="Q106" i="4"/>
  <c r="Q135" i="4"/>
  <c r="Q1" i="6"/>
  <c r="P112" i="1"/>
  <c r="Q224" i="4"/>
  <c r="Q202" i="4"/>
  <c r="Q210" i="4"/>
  <c r="Q1" i="7"/>
  <c r="Q1" i="5"/>
  <c r="R11" i="6"/>
  <c r="R23" i="5"/>
  <c r="R36" i="8"/>
  <c r="R12" i="6"/>
  <c r="R24" i="5"/>
  <c r="R37" i="8"/>
  <c r="R230" i="4"/>
  <c r="R247" i="4"/>
  <c r="R20" i="6"/>
  <c r="S226" i="4"/>
  <c r="H19" i="8"/>
  <c r="R40" i="4" s="1"/>
  <c r="G20" i="8"/>
  <c r="G29" i="8"/>
  <c r="T35" i="8"/>
  <c r="K15" i="6"/>
  <c r="K8" i="5"/>
  <c r="R235" i="4"/>
  <c r="Q236" i="4"/>
  <c r="G14" i="1"/>
  <c r="G29" i="1" s="1"/>
  <c r="G25" i="1"/>
  <c r="H16" i="6"/>
  <c r="R241" i="4"/>
  <c r="Q242" i="4"/>
  <c r="T20" i="5"/>
  <c r="T33" i="8"/>
  <c r="S21" i="6"/>
  <c r="O40" i="8"/>
  <c r="J23" i="6" l="1"/>
  <c r="J24" i="6" s="1"/>
  <c r="I23" i="1"/>
  <c r="Q244" i="4"/>
  <c r="Q18" i="7" s="1"/>
  <c r="Q19" i="7" s="1"/>
  <c r="P18" i="7"/>
  <c r="P19" i="7" s="1"/>
  <c r="I2" i="6"/>
  <c r="I6" i="6" s="1"/>
  <c r="J22" i="7"/>
  <c r="T21" i="6"/>
  <c r="H19" i="1"/>
  <c r="H24" i="1"/>
  <c r="H27" i="1"/>
  <c r="I25" i="6"/>
  <c r="T34" i="8"/>
  <c r="L41" i="8"/>
  <c r="P9" i="6"/>
  <c r="Q21" i="5"/>
  <c r="G31" i="1"/>
  <c r="L15" i="6"/>
  <c r="L8" i="5"/>
  <c r="J115" i="1"/>
  <c r="K18" i="5"/>
  <c r="K26" i="5" s="1"/>
  <c r="Q8" i="1"/>
  <c r="R1" i="6"/>
  <c r="R1" i="7"/>
  <c r="R62" i="4"/>
  <c r="R84" i="4"/>
  <c r="R106" i="4"/>
  <c r="Q112" i="1"/>
  <c r="R135" i="4"/>
  <c r="R224" i="4"/>
  <c r="R1" i="5"/>
  <c r="R202" i="4"/>
  <c r="R210" i="4"/>
  <c r="S11" i="6"/>
  <c r="S23" i="5"/>
  <c r="S36" i="8"/>
  <c r="S13" i="6"/>
  <c r="T216" i="4"/>
  <c r="Q39" i="8"/>
  <c r="Q8" i="6"/>
  <c r="I113" i="1"/>
  <c r="I118" i="1" s="1"/>
  <c r="I119" i="1" s="1"/>
  <c r="J7" i="7"/>
  <c r="J8" i="7" s="1"/>
  <c r="R236" i="4"/>
  <c r="S235" i="4"/>
  <c r="W238" i="4"/>
  <c r="H20" i="8"/>
  <c r="S40" i="4" s="1"/>
  <c r="G21" i="8"/>
  <c r="J20" i="1"/>
  <c r="J30" i="1"/>
  <c r="U33" i="8"/>
  <c r="U20" i="5"/>
  <c r="S241" i="4"/>
  <c r="R242" i="4"/>
  <c r="U35" i="8"/>
  <c r="H29" i="8"/>
  <c r="S230" i="4"/>
  <c r="S20" i="6"/>
  <c r="T226" i="4"/>
  <c r="S247" i="4"/>
  <c r="S12" i="6"/>
  <c r="S24" i="5"/>
  <c r="S37" i="8"/>
  <c r="Q25" i="5" l="1"/>
  <c r="P21" i="1" s="1"/>
  <c r="R244" i="4"/>
  <c r="R18" i="7" s="1"/>
  <c r="R19" i="7" s="1"/>
  <c r="R25" i="5"/>
  <c r="Q21" i="1" s="1"/>
  <c r="R39" i="8"/>
  <c r="R8" i="6"/>
  <c r="M10" i="6"/>
  <c r="M7" i="6" s="1"/>
  <c r="N22" i="5"/>
  <c r="N19" i="5" s="1"/>
  <c r="I27" i="1"/>
  <c r="I24" i="1"/>
  <c r="I19" i="1"/>
  <c r="J25" i="6"/>
  <c r="H14" i="1"/>
  <c r="H29" i="1" s="1"/>
  <c r="H25" i="1"/>
  <c r="I16" i="6"/>
  <c r="T12" i="6"/>
  <c r="T24" i="5"/>
  <c r="T37" i="8"/>
  <c r="T20" i="6"/>
  <c r="T230" i="4"/>
  <c r="T247" i="4"/>
  <c r="U226" i="4"/>
  <c r="I35" i="1"/>
  <c r="I36" i="1" s="1"/>
  <c r="J21" i="7"/>
  <c r="J23" i="7" s="1"/>
  <c r="T13" i="6"/>
  <c r="U216" i="4"/>
  <c r="K115" i="1"/>
  <c r="L18" i="5"/>
  <c r="L26" i="5" s="1"/>
  <c r="U34" i="8"/>
  <c r="H16" i="1"/>
  <c r="H17" i="1"/>
  <c r="H18" i="1"/>
  <c r="V20" i="5"/>
  <c r="V33" i="8"/>
  <c r="T241" i="4"/>
  <c r="S242" i="4"/>
  <c r="G22" i="8"/>
  <c r="H21" i="8"/>
  <c r="T40" i="4" s="1"/>
  <c r="T235" i="4"/>
  <c r="S236" i="4"/>
  <c r="K20" i="1"/>
  <c r="K30" i="1"/>
  <c r="U21" i="6"/>
  <c r="X238" i="4"/>
  <c r="V35" i="8"/>
  <c r="R8" i="1"/>
  <c r="R112" i="1"/>
  <c r="S1" i="6"/>
  <c r="S202" i="4"/>
  <c r="S210" i="4"/>
  <c r="S62" i="4"/>
  <c r="S84" i="4"/>
  <c r="S106" i="4"/>
  <c r="S1" i="7"/>
  <c r="S1" i="5"/>
  <c r="S135" i="4"/>
  <c r="S224" i="4"/>
  <c r="T11" i="6"/>
  <c r="T23" i="5"/>
  <c r="T36" i="8"/>
  <c r="K27" i="5"/>
  <c r="K28" i="5" s="1"/>
  <c r="J26" i="1" s="1"/>
  <c r="P40" i="8"/>
  <c r="K23" i="6" l="1"/>
  <c r="K24" i="6" s="1"/>
  <c r="J23" i="1"/>
  <c r="S244" i="4"/>
  <c r="S18" i="7" s="1"/>
  <c r="S19" i="7" s="1"/>
  <c r="Y238" i="4"/>
  <c r="T236" i="4"/>
  <c r="U235" i="4"/>
  <c r="U241" i="4"/>
  <c r="T242" i="4"/>
  <c r="L27" i="5"/>
  <c r="L28" i="5" s="1"/>
  <c r="K26" i="1" s="1"/>
  <c r="I16" i="1"/>
  <c r="I17" i="1"/>
  <c r="I18" i="1"/>
  <c r="S39" i="8"/>
  <c r="S8" i="6"/>
  <c r="Q9" i="6"/>
  <c r="R21" i="5"/>
  <c r="Q40" i="8" s="1"/>
  <c r="W35" i="8"/>
  <c r="J113" i="1"/>
  <c r="J118" i="1" s="1"/>
  <c r="J119" i="1" s="1"/>
  <c r="K7" i="7"/>
  <c r="K8" i="7" s="1"/>
  <c r="S8" i="1"/>
  <c r="S112" i="1"/>
  <c r="T1" i="6"/>
  <c r="T62" i="4"/>
  <c r="T84" i="4"/>
  <c r="T106" i="4"/>
  <c r="T135" i="4"/>
  <c r="T224" i="4"/>
  <c r="T202" i="4"/>
  <c r="T210" i="4"/>
  <c r="T1" i="7"/>
  <c r="T1" i="5"/>
  <c r="V34" i="8"/>
  <c r="I37" i="1"/>
  <c r="H31" i="1"/>
  <c r="M15" i="6"/>
  <c r="M8" i="5"/>
  <c r="V21" i="6"/>
  <c r="J2" i="6"/>
  <c r="J6" i="6" s="1"/>
  <c r="K22" i="7"/>
  <c r="U11" i="6"/>
  <c r="U36" i="8"/>
  <c r="U23" i="5"/>
  <c r="G23" i="8"/>
  <c r="H22" i="8"/>
  <c r="U40" i="4" s="1"/>
  <c r="W20" i="5"/>
  <c r="W33" i="8"/>
  <c r="U13" i="6"/>
  <c r="V216" i="4"/>
  <c r="U20" i="6"/>
  <c r="V226" i="4"/>
  <c r="U230" i="4"/>
  <c r="U247" i="4"/>
  <c r="U12" i="6"/>
  <c r="U37" i="8"/>
  <c r="U24" i="5"/>
  <c r="M41" i="8"/>
  <c r="S25" i="5" l="1"/>
  <c r="R21" i="1" s="1"/>
  <c r="L23" i="6"/>
  <c r="L24" i="6" s="1"/>
  <c r="K23" i="1"/>
  <c r="T244" i="4"/>
  <c r="T18" i="7" s="1"/>
  <c r="T19" i="7" s="1"/>
  <c r="R9" i="6"/>
  <c r="S21" i="5"/>
  <c r="T8" i="1"/>
  <c r="T112" i="1"/>
  <c r="U1" i="6"/>
  <c r="U62" i="4"/>
  <c r="U84" i="4"/>
  <c r="U106" i="4"/>
  <c r="U135" i="4"/>
  <c r="U224" i="4"/>
  <c r="U202" i="4"/>
  <c r="U210" i="4"/>
  <c r="U1" i="7"/>
  <c r="U1" i="5"/>
  <c r="T39" i="8"/>
  <c r="T8" i="6"/>
  <c r="V241" i="4"/>
  <c r="U242" i="4"/>
  <c r="V12" i="6"/>
  <c r="V24" i="5"/>
  <c r="V37" i="8"/>
  <c r="V230" i="4"/>
  <c r="V247" i="4"/>
  <c r="W226" i="4"/>
  <c r="V20" i="6"/>
  <c r="X20" i="5"/>
  <c r="X33" i="8"/>
  <c r="L115" i="1"/>
  <c r="M18" i="5"/>
  <c r="M26" i="5" s="1"/>
  <c r="X35" i="8"/>
  <c r="J19" i="1"/>
  <c r="J24" i="1"/>
  <c r="J27" i="1"/>
  <c r="K25" i="6"/>
  <c r="I25" i="1"/>
  <c r="I14" i="1"/>
  <c r="I29" i="1" s="1"/>
  <c r="J16" i="6"/>
  <c r="I31" i="1" s="1"/>
  <c r="L20" i="1"/>
  <c r="L30" i="1"/>
  <c r="I29" i="8"/>
  <c r="J35" i="1"/>
  <c r="J36" i="1" s="1"/>
  <c r="K21" i="7"/>
  <c r="K23" i="7" s="1"/>
  <c r="K113" i="1"/>
  <c r="K118" i="1" s="1"/>
  <c r="K119" i="1" s="1"/>
  <c r="L7" i="7"/>
  <c r="L8" i="7" s="1"/>
  <c r="H23" i="8"/>
  <c r="V40" i="4" s="1"/>
  <c r="G24" i="8"/>
  <c r="V235" i="4"/>
  <c r="U236" i="4"/>
  <c r="N10" i="6"/>
  <c r="N7" i="6" s="1"/>
  <c r="O22" i="5"/>
  <c r="O19" i="5" s="1"/>
  <c r="V13" i="6"/>
  <c r="W216" i="4"/>
  <c r="V11" i="6"/>
  <c r="V23" i="5"/>
  <c r="V36" i="8"/>
  <c r="W21" i="6"/>
  <c r="W34" i="8"/>
  <c r="Z238" i="4"/>
  <c r="U244" i="4" l="1"/>
  <c r="T25" i="5"/>
  <c r="S21" i="1" s="1"/>
  <c r="J37" i="1"/>
  <c r="J29" i="8" s="1"/>
  <c r="U18" i="7"/>
  <c r="U19" i="7" s="1"/>
  <c r="U25" i="5"/>
  <c r="T21" i="1" s="1"/>
  <c r="U8" i="1"/>
  <c r="V1" i="6"/>
  <c r="U112" i="1"/>
  <c r="V1" i="7"/>
  <c r="V135" i="4"/>
  <c r="V224" i="4"/>
  <c r="V84" i="4"/>
  <c r="V210" i="4"/>
  <c r="V1" i="5"/>
  <c r="V62" i="4"/>
  <c r="V202" i="4"/>
  <c r="V106" i="4"/>
  <c r="W12" i="6"/>
  <c r="W24" i="5"/>
  <c r="W37" i="8"/>
  <c r="W241" i="4"/>
  <c r="V242" i="4"/>
  <c r="N15" i="6"/>
  <c r="N8" i="5"/>
  <c r="V236" i="4"/>
  <c r="W235" i="4"/>
  <c r="K35" i="1"/>
  <c r="K36" i="1" s="1"/>
  <c r="L21" i="7"/>
  <c r="Y35" i="8"/>
  <c r="Y33" i="8"/>
  <c r="Y20" i="5"/>
  <c r="W20" i="6"/>
  <c r="W230" i="4"/>
  <c r="X226" i="4"/>
  <c r="W247" i="4"/>
  <c r="X34" i="8"/>
  <c r="X21" i="6"/>
  <c r="W13" i="6"/>
  <c r="X216" i="4"/>
  <c r="N41" i="8"/>
  <c r="K2" i="6"/>
  <c r="K6" i="6" s="1"/>
  <c r="L22" i="7"/>
  <c r="U39" i="8"/>
  <c r="U8" i="6"/>
  <c r="W11" i="6"/>
  <c r="W23" i="5"/>
  <c r="W36" i="8"/>
  <c r="H24" i="8"/>
  <c r="W40" i="4" s="1"/>
  <c r="G25" i="8"/>
  <c r="J16" i="1"/>
  <c r="J17" i="1"/>
  <c r="J18" i="1"/>
  <c r="M27" i="5"/>
  <c r="K19" i="1"/>
  <c r="K24" i="1"/>
  <c r="K27" i="1"/>
  <c r="L25" i="6"/>
  <c r="R40" i="8"/>
  <c r="K37" i="1" l="1"/>
  <c r="K29" i="8" s="1"/>
  <c r="V244" i="4"/>
  <c r="V25" i="5" s="1"/>
  <c r="U21" i="1" s="1"/>
  <c r="Y21" i="6"/>
  <c r="M115" i="1"/>
  <c r="N18" i="5"/>
  <c r="N26" i="5" s="1"/>
  <c r="X13" i="6"/>
  <c r="Y216" i="4"/>
  <c r="Y34" i="8"/>
  <c r="M20" i="1"/>
  <c r="M30" i="1"/>
  <c r="S9" i="6"/>
  <c r="T21" i="5"/>
  <c r="S40" i="8" s="1"/>
  <c r="V8" i="1"/>
  <c r="V112" i="1"/>
  <c r="W1" i="6"/>
  <c r="W62" i="4"/>
  <c r="W84" i="4"/>
  <c r="W106" i="4"/>
  <c r="W202" i="4"/>
  <c r="W210" i="4"/>
  <c r="W135" i="4"/>
  <c r="W1" i="7"/>
  <c r="W1" i="5"/>
  <c r="W224" i="4"/>
  <c r="J14" i="1"/>
  <c r="J29" i="1" s="1"/>
  <c r="J25" i="1"/>
  <c r="K16" i="6"/>
  <c r="J31" i="1" s="1"/>
  <c r="X20" i="6"/>
  <c r="X230" i="4"/>
  <c r="Y226" i="4"/>
  <c r="X247" i="4"/>
  <c r="Z20" i="5"/>
  <c r="X241" i="4"/>
  <c r="W242" i="4"/>
  <c r="K16" i="1"/>
  <c r="K17" i="1"/>
  <c r="K18" i="1"/>
  <c r="X11" i="6"/>
  <c r="X23" i="5"/>
  <c r="X36" i="8"/>
  <c r="V39" i="8"/>
  <c r="V8" i="6"/>
  <c r="O10" i="6"/>
  <c r="O7" i="6" s="1"/>
  <c r="P22" i="5"/>
  <c r="P19" i="5" s="1"/>
  <c r="X12" i="6"/>
  <c r="X24" i="5"/>
  <c r="X37" i="8"/>
  <c r="L113" i="1"/>
  <c r="L118" i="1" s="1"/>
  <c r="L119" i="1" s="1"/>
  <c r="M7" i="7"/>
  <c r="M8" i="7" s="1"/>
  <c r="M28" i="5"/>
  <c r="L26" i="1" s="1"/>
  <c r="H25" i="8"/>
  <c r="X40" i="4" s="1"/>
  <c r="G26" i="8"/>
  <c r="L23" i="7"/>
  <c r="X235" i="4"/>
  <c r="W236" i="4"/>
  <c r="M23" i="6" l="1"/>
  <c r="M24" i="6" s="1"/>
  <c r="L23" i="1"/>
  <c r="V18" i="7"/>
  <c r="V19" i="7" s="1"/>
  <c r="O41" i="8"/>
  <c r="P10" i="6" s="1"/>
  <c r="P7" i="6" s="1"/>
  <c r="W244" i="4"/>
  <c r="W25" i="5" s="1"/>
  <c r="V21" i="1" s="1"/>
  <c r="Y12" i="6"/>
  <c r="Y37" i="8"/>
  <c r="Y24" i="5"/>
  <c r="Z216" i="4"/>
  <c r="Z13" i="6" s="1"/>
  <c r="Y13" i="6"/>
  <c r="X236" i="4"/>
  <c r="Y235" i="4"/>
  <c r="L2" i="6"/>
  <c r="L6" i="6" s="1"/>
  <c r="M22" i="7"/>
  <c r="L35" i="1"/>
  <c r="L36" i="1" s="1"/>
  <c r="M21" i="7"/>
  <c r="Z21" i="6"/>
  <c r="W8" i="1"/>
  <c r="X62" i="4"/>
  <c r="X84" i="4"/>
  <c r="X106" i="4"/>
  <c r="W112" i="1"/>
  <c r="X224" i="4"/>
  <c r="X1" i="6"/>
  <c r="X202" i="4"/>
  <c r="X210" i="4"/>
  <c r="X1" i="7"/>
  <c r="X1" i="5"/>
  <c r="X135" i="4"/>
  <c r="O15" i="6"/>
  <c r="O8" i="5"/>
  <c r="Y11" i="6"/>
  <c r="Y36" i="8"/>
  <c r="Y23" i="5"/>
  <c r="T9" i="6"/>
  <c r="U21" i="5"/>
  <c r="H26" i="8"/>
  <c r="Y40" i="4" s="1"/>
  <c r="G27" i="8"/>
  <c r="H27" i="8" s="1"/>
  <c r="Z40" i="4" s="1"/>
  <c r="W39" i="8"/>
  <c r="W8" i="6"/>
  <c r="Y241" i="4"/>
  <c r="X242" i="4"/>
  <c r="Y20" i="6"/>
  <c r="Z226" i="4"/>
  <c r="Y247" i="4"/>
  <c r="Y230" i="4"/>
  <c r="N27" i="5"/>
  <c r="N28" i="5" s="1"/>
  <c r="M26" i="1" s="1"/>
  <c r="Q22" i="5" l="1"/>
  <c r="Q19" i="5" s="1"/>
  <c r="N23" i="6"/>
  <c r="N24" i="6" s="1"/>
  <c r="M23" i="1"/>
  <c r="L37" i="1"/>
  <c r="L29" i="8" s="1"/>
  <c r="W18" i="7"/>
  <c r="W19" i="7" s="1"/>
  <c r="X244" i="4"/>
  <c r="X18" i="7" s="1"/>
  <c r="X19" i="7" s="1"/>
  <c r="P41" i="8"/>
  <c r="R22" i="5" s="1"/>
  <c r="R19" i="5" s="1"/>
  <c r="X39" i="8"/>
  <c r="X8" i="6"/>
  <c r="P15" i="6"/>
  <c r="P8" i="5"/>
  <c r="N20" i="1"/>
  <c r="N30" i="1"/>
  <c r="K14" i="1"/>
  <c r="K29" i="1" s="1"/>
  <c r="K25" i="1"/>
  <c r="L16" i="6"/>
  <c r="K31" i="1" s="1"/>
  <c r="Z12" i="6"/>
  <c r="Z24" i="5"/>
  <c r="M113" i="1"/>
  <c r="M118" i="1" s="1"/>
  <c r="M119" i="1" s="1"/>
  <c r="N7" i="7"/>
  <c r="N8" i="7" s="1"/>
  <c r="Y8" i="1"/>
  <c r="Z1" i="6"/>
  <c r="Y112" i="1"/>
  <c r="Z135" i="4"/>
  <c r="Z1" i="7"/>
  <c r="Z62" i="4"/>
  <c r="Z84" i="4"/>
  <c r="Z106" i="4"/>
  <c r="Z224" i="4"/>
  <c r="Z1" i="5"/>
  <c r="Z210" i="4"/>
  <c r="Z202" i="4"/>
  <c r="Z11" i="6"/>
  <c r="Z23" i="5"/>
  <c r="Z235" i="4"/>
  <c r="Z236" i="4" s="1"/>
  <c r="Y236" i="4"/>
  <c r="Z241" i="4"/>
  <c r="Z242" i="4" s="1"/>
  <c r="Y242" i="4"/>
  <c r="X8" i="1"/>
  <c r="X112" i="1"/>
  <c r="Y62" i="4"/>
  <c r="Y84" i="4"/>
  <c r="Y106" i="4"/>
  <c r="Y135" i="4"/>
  <c r="Y224" i="4"/>
  <c r="Y1" i="6"/>
  <c r="Y202" i="4"/>
  <c r="Y210" i="4"/>
  <c r="Y1" i="7"/>
  <c r="Y1" i="5"/>
  <c r="L19" i="1"/>
  <c r="L24" i="1"/>
  <c r="L27" i="1"/>
  <c r="M25" i="6"/>
  <c r="T40" i="8"/>
  <c r="Z230" i="4"/>
  <c r="Z247" i="4"/>
  <c r="Z20" i="6"/>
  <c r="N115" i="1"/>
  <c r="O18" i="5"/>
  <c r="O26" i="5" s="1"/>
  <c r="M23" i="7"/>
  <c r="B63" i="8"/>
  <c r="B121" i="1"/>
  <c r="B222" i="4" l="1"/>
  <c r="X25" i="5"/>
  <c r="W21" i="1" s="1"/>
  <c r="Y244" i="4"/>
  <c r="Y18" i="7" s="1"/>
  <c r="Y19" i="7" s="1"/>
  <c r="Q41" i="8"/>
  <c r="R10" i="6" s="1"/>
  <c r="R7" i="6" s="1"/>
  <c r="Q10" i="6"/>
  <c r="Q7" i="6" s="1"/>
  <c r="Q15" i="6" s="1"/>
  <c r="Y25" i="5"/>
  <c r="X21" i="1" s="1"/>
  <c r="O27" i="5"/>
  <c r="U9" i="6"/>
  <c r="V21" i="5"/>
  <c r="O20" i="1"/>
  <c r="O30" i="1"/>
  <c r="M19" i="1"/>
  <c r="M24" i="1"/>
  <c r="M27" i="1"/>
  <c r="N25" i="6"/>
  <c r="M2" i="6"/>
  <c r="M6" i="6" s="1"/>
  <c r="N22" i="7"/>
  <c r="Y39" i="8"/>
  <c r="Z8" i="6" s="1"/>
  <c r="Y8" i="6"/>
  <c r="Z244" i="4"/>
  <c r="L16" i="1"/>
  <c r="L17" i="1"/>
  <c r="L18" i="1"/>
  <c r="M35" i="1"/>
  <c r="M36" i="1" s="1"/>
  <c r="N21" i="7"/>
  <c r="O115" i="1"/>
  <c r="P18" i="5"/>
  <c r="P26" i="5" s="1"/>
  <c r="B39" i="1"/>
  <c r="B38" i="1"/>
  <c r="S22" i="5" l="1"/>
  <c r="S19" i="5" s="1"/>
  <c r="B4" i="1"/>
  <c r="M37" i="1"/>
  <c r="M29" i="8" s="1"/>
  <c r="Q8" i="5"/>
  <c r="P115" i="1" s="1"/>
  <c r="N113" i="1"/>
  <c r="N118" i="1" s="1"/>
  <c r="N119" i="1" s="1"/>
  <c r="O7" i="7"/>
  <c r="O8" i="7" s="1"/>
  <c r="Z18" i="7"/>
  <c r="Z19" i="7" s="1"/>
  <c r="Z25" i="5"/>
  <c r="Y21" i="1" s="1"/>
  <c r="L14" i="1"/>
  <c r="L29" i="1" s="1"/>
  <c r="L25" i="1"/>
  <c r="M16" i="6"/>
  <c r="L31" i="1" s="1"/>
  <c r="P27" i="5"/>
  <c r="R15" i="6"/>
  <c r="R8" i="5"/>
  <c r="M17" i="1"/>
  <c r="M16" i="1"/>
  <c r="M18" i="1"/>
  <c r="U40" i="8"/>
  <c r="N23" i="7"/>
  <c r="P20" i="1"/>
  <c r="P30" i="1"/>
  <c r="O28" i="5"/>
  <c r="B6" i="1"/>
  <c r="B30" i="8"/>
  <c r="B5" i="1"/>
  <c r="R41" i="8" l="1"/>
  <c r="S10" i="6" s="1"/>
  <c r="S7" i="6" s="1"/>
  <c r="O23" i="6"/>
  <c r="O24" i="6" s="1"/>
  <c r="N26" i="1"/>
  <c r="B40" i="1"/>
  <c r="Q18" i="5"/>
  <c r="Q26" i="5" s="1"/>
  <c r="Q27" i="5" s="1"/>
  <c r="Q28" i="5" s="1"/>
  <c r="P26" i="1" s="1"/>
  <c r="O113" i="1"/>
  <c r="O118" i="1" s="1"/>
  <c r="O119" i="1" s="1"/>
  <c r="P7" i="7"/>
  <c r="P8" i="7" s="1"/>
  <c r="Q20" i="1"/>
  <c r="Q30" i="1"/>
  <c r="N35" i="1"/>
  <c r="N36" i="1" s="1"/>
  <c r="N37" i="1" s="1"/>
  <c r="O21" i="7"/>
  <c r="Q115" i="1"/>
  <c r="R18" i="5"/>
  <c r="R26" i="5" s="1"/>
  <c r="N2" i="6"/>
  <c r="N6" i="6" s="1"/>
  <c r="O22" i="7"/>
  <c r="C222" i="4"/>
  <c r="V9" i="6"/>
  <c r="W21" i="5"/>
  <c r="V40" i="8" s="1"/>
  <c r="P28" i="5"/>
  <c r="T22" i="5" l="1"/>
  <c r="T19" i="5" s="1"/>
  <c r="P23" i="6"/>
  <c r="Q23" i="6" s="1"/>
  <c r="O26" i="1"/>
  <c r="S15" i="6"/>
  <c r="S8" i="5"/>
  <c r="W9" i="6"/>
  <c r="X21" i="5"/>
  <c r="O23" i="7"/>
  <c r="N19" i="1"/>
  <c r="N24" i="1"/>
  <c r="N27" i="1"/>
  <c r="O25" i="6"/>
  <c r="O35" i="1"/>
  <c r="O36" i="1" s="1"/>
  <c r="O37" i="1" s="1"/>
  <c r="P21" i="7"/>
  <c r="R27" i="5"/>
  <c r="P113" i="1"/>
  <c r="P118" i="1" s="1"/>
  <c r="P119" i="1" s="1"/>
  <c r="Q7" i="7"/>
  <c r="Q8" i="7" s="1"/>
  <c r="N29" i="8"/>
  <c r="M14" i="1"/>
  <c r="M29" i="1" s="1"/>
  <c r="M25" i="1"/>
  <c r="N16" i="6"/>
  <c r="S41" i="8" l="1"/>
  <c r="T10" i="6" s="1"/>
  <c r="T7" i="6" s="1"/>
  <c r="T15" i="6" s="1"/>
  <c r="P24" i="6"/>
  <c r="O27" i="1" s="1"/>
  <c r="M31" i="1"/>
  <c r="B28" i="8"/>
  <c r="Q113" i="1"/>
  <c r="Q118" i="1" s="1"/>
  <c r="Q119" i="1" s="1"/>
  <c r="R7" i="7"/>
  <c r="R8" i="7" s="1"/>
  <c r="R115" i="1"/>
  <c r="S18" i="5"/>
  <c r="S26" i="5" s="1"/>
  <c r="O29" i="8"/>
  <c r="P35" i="1"/>
  <c r="P36" i="1" s="1"/>
  <c r="P37" i="1" s="1"/>
  <c r="Q21" i="7"/>
  <c r="R20" i="1"/>
  <c r="R30" i="1"/>
  <c r="R28" i="5"/>
  <c r="N16" i="1"/>
  <c r="N17" i="1"/>
  <c r="N18" i="1"/>
  <c r="O2" i="6"/>
  <c r="O6" i="6" s="1"/>
  <c r="P22" i="7"/>
  <c r="P23" i="7" s="1"/>
  <c r="W40" i="8"/>
  <c r="Q24" i="6"/>
  <c r="T8" i="5" l="1"/>
  <c r="T18" i="5" s="1"/>
  <c r="T26" i="5" s="1"/>
  <c r="U22" i="5"/>
  <c r="U19" i="5" s="1"/>
  <c r="P25" i="6"/>
  <c r="O18" i="1" s="1"/>
  <c r="O19" i="1"/>
  <c r="O24" i="1"/>
  <c r="R23" i="6"/>
  <c r="R24" i="6" s="1"/>
  <c r="Q26" i="1"/>
  <c r="P29" i="8"/>
  <c r="X9" i="6"/>
  <c r="Y21" i="5"/>
  <c r="S20" i="1"/>
  <c r="S30" i="1"/>
  <c r="P2" i="6"/>
  <c r="P6" i="6" s="1"/>
  <c r="Q22" i="7"/>
  <c r="Q23" i="7" s="1"/>
  <c r="Q35" i="1"/>
  <c r="Q36" i="1" s="1"/>
  <c r="Q37" i="1" s="1"/>
  <c r="R21" i="7"/>
  <c r="P19" i="1"/>
  <c r="P24" i="1"/>
  <c r="P27" i="1"/>
  <c r="Q25" i="6"/>
  <c r="N14" i="1"/>
  <c r="N29" i="1" s="1"/>
  <c r="N25" i="1"/>
  <c r="O16" i="6"/>
  <c r="N31" i="1" s="1"/>
  <c r="S27" i="5"/>
  <c r="S115" i="1" l="1"/>
  <c r="T41" i="8"/>
  <c r="O17" i="1"/>
  <c r="O16" i="1"/>
  <c r="Q29" i="8"/>
  <c r="R113" i="1"/>
  <c r="R118" i="1" s="1"/>
  <c r="R119" i="1" s="1"/>
  <c r="S7" i="7"/>
  <c r="S8" i="7" s="1"/>
  <c r="T27" i="5"/>
  <c r="Q19" i="1"/>
  <c r="Q24" i="1"/>
  <c r="Q27" i="1"/>
  <c r="R25" i="6"/>
  <c r="P16" i="1"/>
  <c r="P17" i="1"/>
  <c r="P18" i="1"/>
  <c r="Q2" i="6"/>
  <c r="Q6" i="6" s="1"/>
  <c r="R22" i="7"/>
  <c r="R23" i="7" s="1"/>
  <c r="S28" i="5"/>
  <c r="O14" i="1"/>
  <c r="O29" i="1" s="1"/>
  <c r="O25" i="1"/>
  <c r="P16" i="6"/>
  <c r="O31" i="1" s="1"/>
  <c r="X40" i="8"/>
  <c r="U10" i="6" l="1"/>
  <c r="U7" i="6" s="1"/>
  <c r="V22" i="5"/>
  <c r="S23" i="6"/>
  <c r="S24" i="6" s="1"/>
  <c r="R26" i="1"/>
  <c r="S113" i="1"/>
  <c r="S118" i="1" s="1"/>
  <c r="S119" i="1" s="1"/>
  <c r="T7" i="7"/>
  <c r="T8" i="7" s="1"/>
  <c r="R35" i="1"/>
  <c r="R36" i="1" s="1"/>
  <c r="R37" i="1" s="1"/>
  <c r="S21" i="7"/>
  <c r="R2" i="6"/>
  <c r="R6" i="6" s="1"/>
  <c r="S22" i="7"/>
  <c r="Y9" i="6"/>
  <c r="Z21" i="5"/>
  <c r="Y40" i="8" s="1"/>
  <c r="Z9" i="6" s="1"/>
  <c r="P14" i="1"/>
  <c r="P29" i="1" s="1"/>
  <c r="P25" i="1"/>
  <c r="Q16" i="6"/>
  <c r="P31" i="1" s="1"/>
  <c r="Q18" i="1"/>
  <c r="Q16" i="1"/>
  <c r="Q17" i="1"/>
  <c r="T28" i="5"/>
  <c r="V19" i="5" l="1"/>
  <c r="U41" i="8"/>
  <c r="U15" i="6"/>
  <c r="U8" i="5"/>
  <c r="T23" i="6"/>
  <c r="S26" i="1"/>
  <c r="S23" i="7"/>
  <c r="S2" i="6" s="1"/>
  <c r="S6" i="6" s="1"/>
  <c r="R19" i="1"/>
  <c r="R24" i="1"/>
  <c r="R27" i="1"/>
  <c r="S25" i="6"/>
  <c r="Q14" i="1"/>
  <c r="Q29" i="1" s="1"/>
  <c r="Q25" i="1"/>
  <c r="R16" i="6"/>
  <c r="Q31" i="1" s="1"/>
  <c r="R29" i="8"/>
  <c r="S35" i="1"/>
  <c r="S36" i="1" s="1"/>
  <c r="S37" i="1" s="1"/>
  <c r="T21" i="7"/>
  <c r="T115" i="1" l="1"/>
  <c r="U18" i="5"/>
  <c r="U26" i="5" s="1"/>
  <c r="U27" i="5" s="1"/>
  <c r="T20" i="1"/>
  <c r="T30" i="1"/>
  <c r="V10" i="6"/>
  <c r="V7" i="6" s="1"/>
  <c r="W22" i="5"/>
  <c r="T24" i="6"/>
  <c r="T25" i="6" s="1"/>
  <c r="T22" i="7"/>
  <c r="T23" i="7" s="1"/>
  <c r="S29" i="8"/>
  <c r="R14" i="1"/>
  <c r="R29" i="1" s="1"/>
  <c r="R25" i="1"/>
  <c r="S16" i="6"/>
  <c r="R31" i="1" s="1"/>
  <c r="R16" i="1"/>
  <c r="R17" i="1"/>
  <c r="R18" i="1"/>
  <c r="V41" i="8" l="1"/>
  <c r="W19" i="5"/>
  <c r="V8" i="5"/>
  <c r="V15" i="6"/>
  <c r="U28" i="5"/>
  <c r="T113" i="1"/>
  <c r="T118" i="1" s="1"/>
  <c r="T119" i="1" s="1"/>
  <c r="U7" i="7"/>
  <c r="U8" i="7" s="1"/>
  <c r="S27" i="1"/>
  <c r="S19" i="1"/>
  <c r="S24" i="1"/>
  <c r="S16" i="1"/>
  <c r="S17" i="1"/>
  <c r="S18" i="1"/>
  <c r="T2" i="6"/>
  <c r="T6" i="6" s="1"/>
  <c r="U22" i="7"/>
  <c r="T26" i="1" l="1"/>
  <c r="U23" i="6"/>
  <c r="U24" i="6" s="1"/>
  <c r="U21" i="7"/>
  <c r="T35" i="1"/>
  <c r="T36" i="1" s="1"/>
  <c r="T37" i="1" s="1"/>
  <c r="T29" i="8" s="1"/>
  <c r="U20" i="1"/>
  <c r="U30" i="1"/>
  <c r="U23" i="7"/>
  <c r="U2" i="6" s="1"/>
  <c r="U6" i="6" s="1"/>
  <c r="U115" i="1"/>
  <c r="V18" i="5"/>
  <c r="V26" i="5" s="1"/>
  <c r="V27" i="5" s="1"/>
  <c r="X22" i="5"/>
  <c r="W10" i="6"/>
  <c r="W7" i="6" s="1"/>
  <c r="S14" i="1"/>
  <c r="S29" i="1" s="1"/>
  <c r="S25" i="1"/>
  <c r="T16" i="6"/>
  <c r="S31" i="1" s="1"/>
  <c r="X19" i="5" l="1"/>
  <c r="W41" i="8"/>
  <c r="W8" i="5"/>
  <c r="W15" i="6"/>
  <c r="V28" i="5"/>
  <c r="V7" i="7"/>
  <c r="V8" i="7" s="1"/>
  <c r="U113" i="1"/>
  <c r="U118" i="1" s="1"/>
  <c r="U119" i="1" s="1"/>
  <c r="U25" i="6"/>
  <c r="T19" i="1"/>
  <c r="T24" i="1"/>
  <c r="T27" i="1"/>
  <c r="V22" i="7"/>
  <c r="T14" i="1"/>
  <c r="T29" i="1" s="1"/>
  <c r="T25" i="1"/>
  <c r="U16" i="6"/>
  <c r="T31" i="1" s="1"/>
  <c r="V21" i="7" l="1"/>
  <c r="V23" i="7" s="1"/>
  <c r="U35" i="1"/>
  <c r="U36" i="1" s="1"/>
  <c r="U37" i="1" s="1"/>
  <c r="U29" i="8" s="1"/>
  <c r="V23" i="6"/>
  <c r="V24" i="6" s="1"/>
  <c r="U26" i="1"/>
  <c r="T16" i="1"/>
  <c r="T17" i="1"/>
  <c r="T18" i="1"/>
  <c r="V20" i="1"/>
  <c r="V30" i="1"/>
  <c r="W18" i="5"/>
  <c r="W26" i="5" s="1"/>
  <c r="V115" i="1"/>
  <c r="X10" i="6"/>
  <c r="X7" i="6" s="1"/>
  <c r="Y22" i="5"/>
  <c r="X8" i="5" l="1"/>
  <c r="X15" i="6"/>
  <c r="Y19" i="5"/>
  <c r="X41" i="8"/>
  <c r="U24" i="1"/>
  <c r="U19" i="1"/>
  <c r="U27" i="1"/>
  <c r="V25" i="6"/>
  <c r="W22" i="7"/>
  <c r="V2" i="6"/>
  <c r="V6" i="6" s="1"/>
  <c r="W27" i="5"/>
  <c r="W28" i="5" s="1"/>
  <c r="U16" i="1" l="1"/>
  <c r="U18" i="1"/>
  <c r="U17" i="1"/>
  <c r="Z22" i="5"/>
  <c r="Y10" i="6"/>
  <c r="Y7" i="6" s="1"/>
  <c r="V113" i="1"/>
  <c r="V118" i="1" s="1"/>
  <c r="V119" i="1" s="1"/>
  <c r="W7" i="7"/>
  <c r="W8" i="7" s="1"/>
  <c r="W23" i="6"/>
  <c r="W24" i="6" s="1"/>
  <c r="V26" i="1"/>
  <c r="U25" i="1"/>
  <c r="U14" i="1"/>
  <c r="U29" i="1" s="1"/>
  <c r="V16" i="6"/>
  <c r="U31" i="1" s="1"/>
  <c r="W20" i="1"/>
  <c r="W30" i="1"/>
  <c r="X18" i="5"/>
  <c r="X26" i="5" s="1"/>
  <c r="W115" i="1"/>
  <c r="V35" i="1" l="1"/>
  <c r="V36" i="1" s="1"/>
  <c r="V37" i="1" s="1"/>
  <c r="V29" i="8" s="1"/>
  <c r="W21" i="7"/>
  <c r="W23" i="7" s="1"/>
  <c r="Y15" i="6"/>
  <c r="Y8" i="5"/>
  <c r="X27" i="5"/>
  <c r="X28" i="5" s="1"/>
  <c r="W26" i="1" s="1"/>
  <c r="Z19" i="5"/>
  <c r="Y41" i="8"/>
  <c r="Z10" i="6" s="1"/>
  <c r="Z7" i="6" s="1"/>
  <c r="W25" i="6"/>
  <c r="V24" i="1"/>
  <c r="V27" i="1"/>
  <c r="V19" i="1"/>
  <c r="X23" i="6" l="1"/>
  <c r="X24" i="6" s="1"/>
  <c r="W113" i="1"/>
  <c r="W118" i="1" s="1"/>
  <c r="W119" i="1" s="1"/>
  <c r="X7" i="7"/>
  <c r="X8" i="7" s="1"/>
  <c r="X115" i="1"/>
  <c r="Y18" i="5"/>
  <c r="Y26" i="5" s="1"/>
  <c r="Z8" i="5"/>
  <c r="Z15" i="6"/>
  <c r="X30" i="1"/>
  <c r="X20" i="1"/>
  <c r="W2" i="6"/>
  <c r="W6" i="6" s="1"/>
  <c r="X22" i="7"/>
  <c r="V17" i="1"/>
  <c r="V18" i="1"/>
  <c r="V16" i="1"/>
  <c r="Y30" i="1" l="1"/>
  <c r="Y20" i="1"/>
  <c r="Y27" i="5"/>
  <c r="Y28" i="5" s="1"/>
  <c r="Z18" i="5"/>
  <c r="Z26" i="5" s="1"/>
  <c r="Y115" i="1"/>
  <c r="X21" i="7"/>
  <c r="X23" i="7" s="1"/>
  <c r="W35" i="1"/>
  <c r="W36" i="1" s="1"/>
  <c r="W37" i="1" s="1"/>
  <c r="W29" i="8" s="1"/>
  <c r="V25" i="1"/>
  <c r="W16" i="6"/>
  <c r="V31" i="1" s="1"/>
  <c r="V14" i="1"/>
  <c r="V29" i="1" s="1"/>
  <c r="W19" i="1"/>
  <c r="W27" i="1"/>
  <c r="X25" i="6"/>
  <c r="W24" i="1"/>
  <c r="X2" i="6" l="1"/>
  <c r="X6" i="6" s="1"/>
  <c r="Y22" i="7"/>
  <c r="Z27" i="5"/>
  <c r="Z28" i="5" s="1"/>
  <c r="Y26" i="1" s="1"/>
  <c r="Y23" i="6"/>
  <c r="X26" i="1"/>
  <c r="X113" i="1"/>
  <c r="X118" i="1" s="1"/>
  <c r="X119" i="1" s="1"/>
  <c r="Y7" i="7"/>
  <c r="Y8" i="7" s="1"/>
  <c r="W18" i="1"/>
  <c r="W16" i="1"/>
  <c r="W17" i="1"/>
  <c r="X35" i="1" l="1"/>
  <c r="X36" i="1" s="1"/>
  <c r="X37" i="1" s="1"/>
  <c r="X29" i="8" s="1"/>
  <c r="Y21" i="7"/>
  <c r="Y23" i="7" s="1"/>
  <c r="Y24" i="6"/>
  <c r="Z23" i="6"/>
  <c r="Z24" i="6" s="1"/>
  <c r="Y113" i="1"/>
  <c r="Y118" i="1" s="1"/>
  <c r="Y119" i="1" s="1"/>
  <c r="Z7" i="7"/>
  <c r="Z8" i="7" s="1"/>
  <c r="W25" i="1"/>
  <c r="X16" i="6"/>
  <c r="W31" i="1" s="1"/>
  <c r="W14" i="1"/>
  <c r="W29" i="1" s="1"/>
  <c r="X19" i="1" l="1"/>
  <c r="Y25" i="6"/>
  <c r="X24" i="1"/>
  <c r="X27" i="1"/>
  <c r="Y35" i="1"/>
  <c r="Y36" i="1" s="1"/>
  <c r="Y37" i="1" s="1"/>
  <c r="Y29" i="8" s="1"/>
  <c r="Z21" i="7"/>
  <c r="Y24" i="1"/>
  <c r="Z25" i="6"/>
  <c r="Y19" i="1"/>
  <c r="Y27" i="1"/>
  <c r="Y2" i="6"/>
  <c r="Y6" i="6" s="1"/>
  <c r="Z22" i="7"/>
  <c r="Y16" i="1" l="1"/>
  <c r="Y17" i="1"/>
  <c r="Y18" i="1"/>
  <c r="Z23" i="7"/>
  <c r="Z2" i="6" s="1"/>
  <c r="Z6" i="6" s="1"/>
  <c r="X18" i="1"/>
  <c r="X16" i="1"/>
  <c r="X17" i="1"/>
  <c r="X25" i="1"/>
  <c r="X14" i="1"/>
  <c r="X29" i="1" s="1"/>
  <c r="Y16" i="6"/>
  <c r="X31" i="1" s="1"/>
  <c r="Y14" i="1" l="1"/>
  <c r="Y29" i="1" s="1"/>
  <c r="Z16" i="6"/>
  <c r="Y31" i="1" s="1"/>
  <c r="Y25" i="1"/>
</calcChain>
</file>

<file path=xl/sharedStrings.xml><?xml version="1.0" encoding="utf-8"?>
<sst xmlns="http://schemas.openxmlformats.org/spreadsheetml/2006/main" count="483" uniqueCount="383">
  <si>
    <t>ПАРАМЕТРЫ ПРОЕКТА</t>
  </si>
  <si>
    <t>Названия периодов</t>
  </si>
  <si>
    <t>Наименования продуктов:</t>
  </si>
  <si>
    <t>Курс доллара на момент начала проекта</t>
  </si>
  <si>
    <t>Ставка дисконтирования</t>
  </si>
  <si>
    <t>Объем продаж (в единицах продукции)</t>
  </si>
  <si>
    <t>ед.</t>
  </si>
  <si>
    <t>Цена продажи (за единицу продукции)</t>
  </si>
  <si>
    <t>$</t>
  </si>
  <si>
    <t>ОБЩИЕ ИЗДЕРЖКИ</t>
  </si>
  <si>
    <t>Параметры производства и продаж</t>
  </si>
  <si>
    <t>Оборачиваемость запасов</t>
  </si>
  <si>
    <t>Оборачиваемость дебиторской задолженности</t>
  </si>
  <si>
    <t>Оборачиваемость кредиторской задолженности</t>
  </si>
  <si>
    <t>%</t>
  </si>
  <si>
    <t>Прочие расходы</t>
  </si>
  <si>
    <t>НАЛОГИ И ОТЧИСЛЕНИЯ</t>
  </si>
  <si>
    <t>Налоги</t>
  </si>
  <si>
    <t>Налог на прибыль</t>
  </si>
  <si>
    <t>Налог на имущество</t>
  </si>
  <si>
    <t>Социальные отчисления с зарплаты</t>
  </si>
  <si>
    <t>Годовые нормы амортизации</t>
  </si>
  <si>
    <t xml:space="preserve">здания и сооружения </t>
  </si>
  <si>
    <t>оборудование</t>
  </si>
  <si>
    <t>транспортные средства</t>
  </si>
  <si>
    <t>оргтехника</t>
  </si>
  <si>
    <t>прочие ОС</t>
  </si>
  <si>
    <t>НАЧАЛЬНЫЙ БАЛАНС</t>
  </si>
  <si>
    <t>Внеоборотные активы</t>
  </si>
  <si>
    <t>руб.</t>
  </si>
  <si>
    <t>Основные средства</t>
  </si>
  <si>
    <t xml:space="preserve">    здания и сооружения </t>
  </si>
  <si>
    <t xml:space="preserve">    оборудование</t>
  </si>
  <si>
    <t xml:space="preserve">    транспортные средства</t>
  </si>
  <si>
    <t xml:space="preserve">    оргтехника</t>
  </si>
  <si>
    <t xml:space="preserve">    прочие ОС</t>
  </si>
  <si>
    <t>Накопленная амортизация</t>
  </si>
  <si>
    <t>Незавершенное строительство</t>
  </si>
  <si>
    <t xml:space="preserve">Прочие активы </t>
  </si>
  <si>
    <t>ИТОГО</t>
  </si>
  <si>
    <t>Оборотные Активы</t>
  </si>
  <si>
    <t>Запасы сырья</t>
  </si>
  <si>
    <t>Дебиторы</t>
  </si>
  <si>
    <t>Денежные средства</t>
  </si>
  <si>
    <t>Прочие оборотные активы</t>
  </si>
  <si>
    <t>Убытки отчетного года</t>
  </si>
  <si>
    <t>Убытки прошлых лет</t>
  </si>
  <si>
    <t>СУММАРНЫЕ АКТИВЫ</t>
  </si>
  <si>
    <t>Краткосрочные обязательства</t>
  </si>
  <si>
    <t>Кредиторская задолженность</t>
  </si>
  <si>
    <t>Долгосрочные обязательства</t>
  </si>
  <si>
    <t>Кредит 1</t>
  </si>
  <si>
    <t>Кредит 2</t>
  </si>
  <si>
    <t>Кредит 3</t>
  </si>
  <si>
    <t>Капитал</t>
  </si>
  <si>
    <t>Уставной капитал</t>
  </si>
  <si>
    <t>Резервы</t>
  </si>
  <si>
    <t>Прибыль отчетного периода</t>
  </si>
  <si>
    <t>Нераспределенная прибыль</t>
  </si>
  <si>
    <t>Приобретение основных средств</t>
  </si>
  <si>
    <t>Здания и сооружения</t>
  </si>
  <si>
    <t>Оборудование</t>
  </si>
  <si>
    <t>Транспортные средства</t>
  </si>
  <si>
    <t>Оргтехника</t>
  </si>
  <si>
    <t>Прочие основные средства</t>
  </si>
  <si>
    <t>Всего приобретение ОС</t>
  </si>
  <si>
    <t>Строительство</t>
  </si>
  <si>
    <t>Строительные работы</t>
  </si>
  <si>
    <t>Ввод в эксплуатацию</t>
  </si>
  <si>
    <t>Итого строительство</t>
  </si>
  <si>
    <t>Прочие капиталовложения</t>
  </si>
  <si>
    <t>ФИНАНСИРОВАНИЕ</t>
  </si>
  <si>
    <t>График погашения долгов</t>
  </si>
  <si>
    <t>Непогашенная сумма кредита</t>
  </si>
  <si>
    <t xml:space="preserve">Поступление </t>
  </si>
  <si>
    <t>Выплата основного долга</t>
  </si>
  <si>
    <t xml:space="preserve">Годовая процентная ставка </t>
  </si>
  <si>
    <t>Сумма по процентам</t>
  </si>
  <si>
    <t>Итого Сумма по процентам</t>
  </si>
  <si>
    <t>Итого Поступления</t>
  </si>
  <si>
    <t>Итого Выплата основного долга</t>
  </si>
  <si>
    <t>Итого Непогашенная сумма по займам</t>
  </si>
  <si>
    <t>ОТЧЕТ О ПРИБЫЛЯХ И УБЫТКАХ</t>
  </si>
  <si>
    <t>Себестоимость продукции</t>
  </si>
  <si>
    <t xml:space="preserve">    премии</t>
  </si>
  <si>
    <t>ВАЛОВАЯ ПРИБЫЛЬ</t>
  </si>
  <si>
    <t>ОПЕРАЦИОННАЯ ПРИБЫЛЬ</t>
  </si>
  <si>
    <t>Амортизация</t>
  </si>
  <si>
    <t xml:space="preserve">    здания  и сооружения</t>
  </si>
  <si>
    <t>Расходы по процентам</t>
  </si>
  <si>
    <t>ПРИБЫЛЬ ДО НАЛОГООБЛОЖЕНИЯ</t>
  </si>
  <si>
    <t>ЧИСТАЯ ПРИБЫЛЬ</t>
  </si>
  <si>
    <t>БАЛАНС</t>
  </si>
  <si>
    <t xml:space="preserve">   здания и сооружения </t>
  </si>
  <si>
    <t xml:space="preserve">   оборудование</t>
  </si>
  <si>
    <t xml:space="preserve">   транспортные средства</t>
  </si>
  <si>
    <t xml:space="preserve">   оргтехника</t>
  </si>
  <si>
    <t xml:space="preserve">   прочие ОС</t>
  </si>
  <si>
    <t>ИТОГО АКТИВОВ</t>
  </si>
  <si>
    <t>ДВИЖЕНИЕ ДЕНЕЖНЫХ СРЕДСТВ</t>
  </si>
  <si>
    <t>Возврат займов</t>
  </si>
  <si>
    <t>Суммарные внеоборотные активы</t>
  </si>
  <si>
    <t>Суммарные оборотные активы</t>
  </si>
  <si>
    <t>Суммарные краткосрочные обязательства</t>
  </si>
  <si>
    <t>Суммарный капитал</t>
  </si>
  <si>
    <t>ИТОГО ОБЯЗАТЕЛЬСТВА И КАПИТАЛ</t>
  </si>
  <si>
    <t>Коэффициенты ликвидности</t>
  </si>
  <si>
    <t>Коэффициент абсолютной ликвидности</t>
  </si>
  <si>
    <t>Коэффициент срочной ликвидности</t>
  </si>
  <si>
    <t>Коэффициент текущей ликвидности</t>
  </si>
  <si>
    <t>Чистый оборотный капитал</t>
  </si>
  <si>
    <t>Показатели структуры капитала</t>
  </si>
  <si>
    <t>Коэффициент финансовой независимости</t>
  </si>
  <si>
    <t>Долгосрочные обязательства к активам</t>
  </si>
  <si>
    <t>Коэффициент покрытия процентов</t>
  </si>
  <si>
    <t>Коэффициенты рентабельности</t>
  </si>
  <si>
    <t>Коэффициенты деловой активности</t>
  </si>
  <si>
    <t>Оборачиваемость рабочего капитала</t>
  </si>
  <si>
    <t>Оборачиваемость основных средств</t>
  </si>
  <si>
    <t>Оборачиваемость активов</t>
  </si>
  <si>
    <t>ФИНАНСОВЫЕ ПОКАЗАТЕЛИ</t>
  </si>
  <si>
    <t>График окупаемости (аккумулированный ДЧДП)</t>
  </si>
  <si>
    <t>Чистая приведенная стоимость: NPV =</t>
  </si>
  <si>
    <t>Внутренняя норма доходности: IRR =</t>
  </si>
  <si>
    <t>USD</t>
  </si>
  <si>
    <t>Выручка (без НДС)</t>
  </si>
  <si>
    <t>Чистый денежный поток</t>
  </si>
  <si>
    <t>Рентабельность продаж</t>
  </si>
  <si>
    <t>Рентабельность собственного капитала</t>
  </si>
  <si>
    <t>Рентабельность оборотных активов</t>
  </si>
  <si>
    <t>Рентабельность внеоборотных активов</t>
  </si>
  <si>
    <t>Рентабельность инвестиций</t>
  </si>
  <si>
    <t>Сумм. обязательства к сумм. активам</t>
  </si>
  <si>
    <t xml:space="preserve">Сумм. обязательства к собств. капиталу </t>
  </si>
  <si>
    <t>Долгоср. обязательства к внеобор. активам</t>
  </si>
  <si>
    <t>Чистый денежный поток (ЧДП)</t>
  </si>
  <si>
    <t>Диконтированный ЧДП</t>
  </si>
  <si>
    <t>Оборачиваемость дебит. задолженности (дн.)</t>
  </si>
  <si>
    <t>Продукт 4</t>
  </si>
  <si>
    <t>Продукт 5</t>
  </si>
  <si>
    <t>СУММАРНЫЕ ОБЯЗАТЕЛЬСТВА И КАПИТАЛ</t>
  </si>
  <si>
    <t>Число продуктов в проекте</t>
  </si>
  <si>
    <t>Число периодов</t>
  </si>
  <si>
    <t>месяц</t>
  </si>
  <si>
    <t>квартал</t>
  </si>
  <si>
    <t>год</t>
  </si>
  <si>
    <t>Текущая длительность периода:</t>
  </si>
  <si>
    <t>Длительность периода (в месяцах):</t>
  </si>
  <si>
    <t>Длительность периода</t>
  </si>
  <si>
    <t>Периоды</t>
  </si>
  <si>
    <t>Продукты</t>
  </si>
  <si>
    <t>Длительности периодов:</t>
  </si>
  <si>
    <t>6 мес.</t>
  </si>
  <si>
    <t>Первый месяц</t>
  </si>
  <si>
    <t>Первый год</t>
  </si>
  <si>
    <t>Годы</t>
  </si>
  <si>
    <t>Первый год - позиция в списке</t>
  </si>
  <si>
    <t>Месяцы</t>
  </si>
  <si>
    <t>янв</t>
  </si>
  <si>
    <t>фев</t>
  </si>
  <si>
    <t>мар</t>
  </si>
  <si>
    <t>апр</t>
  </si>
  <si>
    <t>май</t>
  </si>
  <si>
    <t>июн</t>
  </si>
  <si>
    <t>июл</t>
  </si>
  <si>
    <t>авг</t>
  </si>
  <si>
    <t>сен</t>
  </si>
  <si>
    <t>окт</t>
  </si>
  <si>
    <t>ноя</t>
  </si>
  <si>
    <t>дек</t>
  </si>
  <si>
    <t>Начало периодов</t>
  </si>
  <si>
    <t>Дата начала проекта</t>
  </si>
  <si>
    <t>Продукт 6</t>
  </si>
  <si>
    <t>Продукт 7</t>
  </si>
  <si>
    <t>Продукт 8</t>
  </si>
  <si>
    <t>Продукт 9</t>
  </si>
  <si>
    <t>Продукт 10</t>
  </si>
  <si>
    <t>Продукт 11</t>
  </si>
  <si>
    <t>Продукт 12</t>
  </si>
  <si>
    <t>Продукт 13</t>
  </si>
  <si>
    <t>Продукт 14</t>
  </si>
  <si>
    <t>Продукт 15</t>
  </si>
  <si>
    <t>Продукт 16</t>
  </si>
  <si>
    <t>Продукт 17</t>
  </si>
  <si>
    <t>Продукт 18</t>
  </si>
  <si>
    <t>Продукт 19</t>
  </si>
  <si>
    <t>Продукт 20</t>
  </si>
  <si>
    <t>Сходимость баланса</t>
  </si>
  <si>
    <t>Акционерный капитал</t>
  </si>
  <si>
    <t>Акционер 1</t>
  </si>
  <si>
    <t>Акционер 2</t>
  </si>
  <si>
    <t>Акционер 3</t>
  </si>
  <si>
    <t>Акционер 4</t>
  </si>
  <si>
    <t>Акционер 5</t>
  </si>
  <si>
    <t>Период окупаемости: PBP =</t>
  </si>
  <si>
    <t>мес.</t>
  </si>
  <si>
    <t>Расчет срока окупаемости</t>
  </si>
  <si>
    <t>Срок окупаемости</t>
  </si>
  <si>
    <t>Операционная деятельность</t>
  </si>
  <si>
    <t>График окупаемости проекта</t>
  </si>
  <si>
    <t>СУММАРНЫЙ ДЕНЕЖНЫЙ ПОТОК</t>
  </si>
  <si>
    <t>ОЦЕНКА СТОИМОСТИ БИЗНЕСА</t>
  </si>
  <si>
    <t>Оценка с учетом активов на конец проекта</t>
  </si>
  <si>
    <t>Оценка методом дисконтированного кэш-фло</t>
  </si>
  <si>
    <t>Оценка выполнена для WACC =</t>
  </si>
  <si>
    <t>Оценка с учетом продленного кэш-фло</t>
  </si>
  <si>
    <t>Налоги с оборота</t>
  </si>
  <si>
    <t>Стоимость активов</t>
  </si>
  <si>
    <t>ПРОДАЖИ И ПРЯМЫЕ ИЗДЕРЖКИ</t>
  </si>
  <si>
    <t>КАПИТАЛЬНЫЕ ВЛОЖЕНИЯ</t>
  </si>
  <si>
    <t>шт.</t>
  </si>
  <si>
    <t>Ед. изм.</t>
  </si>
  <si>
    <t>Стоимость материалов (за ед. продукции)</t>
  </si>
  <si>
    <t>Денежные средства на начало периода</t>
  </si>
  <si>
    <t>Денежные средства на конец периода</t>
  </si>
  <si>
    <t>-------------------------------------------------------------------------------------------------</t>
  </si>
  <si>
    <t>Поступления заемных средств</t>
  </si>
  <si>
    <t>ПРОДАЖИ ПО ПРОДУКТАМ</t>
  </si>
  <si>
    <t>Сдельная зарплата</t>
  </si>
  <si>
    <t>Поступления от продаж</t>
  </si>
  <si>
    <t>Затраты на материалы и комплектующие</t>
  </si>
  <si>
    <t>Постоянные издержки</t>
  </si>
  <si>
    <t>Зарплата</t>
  </si>
  <si>
    <t>Зарплата и социальные взносы</t>
  </si>
  <si>
    <t>целая</t>
  </si>
  <si>
    <t>дробная</t>
  </si>
  <si>
    <t>Разбор значений сдвигов:</t>
  </si>
  <si>
    <t>Период сбора дебиторской задолженности</t>
  </si>
  <si>
    <t>Период сбора кредиторской задолженности</t>
  </si>
  <si>
    <t>Налог на добавленную стоимость</t>
  </si>
  <si>
    <t>в днях</t>
  </si>
  <si>
    <t>в %</t>
  </si>
  <si>
    <t>Баланс НДС</t>
  </si>
  <si>
    <t>Выплата НДС за проданные товары</t>
  </si>
  <si>
    <t>Возврат НДС за материалы и комплектующие</t>
  </si>
  <si>
    <t>Возврат НДС за постоянные издержки</t>
  </si>
  <si>
    <t>Номер периода</t>
  </si>
  <si>
    <t>Сдельная зарплата (за ед. продукции)</t>
  </si>
  <si>
    <t>Продажи (с учетом НДС)</t>
  </si>
  <si>
    <t>Материалы и комплектующие (с учетом НДС)</t>
  </si>
  <si>
    <t>Налоги с продаж</t>
  </si>
  <si>
    <t xml:space="preserve">    материалы, комплектующие, товары</t>
  </si>
  <si>
    <t xml:space="preserve">    сдельная оплата труда</t>
  </si>
  <si>
    <t xml:space="preserve">    соц. начисления</t>
  </si>
  <si>
    <t>Проценты по кредитам</t>
  </si>
  <si>
    <t>Заработная плата</t>
  </si>
  <si>
    <t>Премиальные от оборота</t>
  </si>
  <si>
    <t>Нераспределенная прибыль (убыток)</t>
  </si>
  <si>
    <t>График закупок материалов</t>
  </si>
  <si>
    <t>Кэш-фло от операционной деятельности</t>
  </si>
  <si>
    <t>Кэш-фло от инвестиционной деятельности</t>
  </si>
  <si>
    <t>Кэш-фло от финансовой деятельности</t>
  </si>
  <si>
    <t xml:space="preserve">    фиксированная зарплата</t>
  </si>
  <si>
    <t>руб. за 1$</t>
  </si>
  <si>
    <t>Текущая часть кредитов</t>
  </si>
  <si>
    <t>Маркетинговые издержки</t>
  </si>
  <si>
    <t>Административные и офисные издержки</t>
  </si>
  <si>
    <t>ДОПОЛНИТЕЛЬНАЯ ИНФОРМАЦИЯ</t>
  </si>
  <si>
    <t>Здесь Вы можете разместить свои собственные таблицы,</t>
  </si>
  <si>
    <t>детализирующие или уточняющие стандартный набор исходных данных</t>
  </si>
  <si>
    <t>Название проекта:</t>
  </si>
  <si>
    <t>Текущая потребность в капитале:</t>
  </si>
  <si>
    <t xml:space="preserve"> USD</t>
  </si>
  <si>
    <t>БЮДЖЕТНАЯ ЭФФЕКТИВНОСТЬ ПРОЕКТА</t>
  </si>
  <si>
    <t>Суммарные налоговые поступления</t>
  </si>
  <si>
    <t>Дисконтированные налоговые поступления</t>
  </si>
  <si>
    <t>Доходы бюджета</t>
  </si>
  <si>
    <t>Дисконтированные доходы бюджета</t>
  </si>
  <si>
    <t>Ставка дисконтирования доходов бюджета</t>
  </si>
  <si>
    <t>Снижение объема продаж</t>
  </si>
  <si>
    <t>Снижение цены продуктов/услуг</t>
  </si>
  <si>
    <t>Увеличение постоянных издержек</t>
  </si>
  <si>
    <t>Увеличение капитальных затрат</t>
  </si>
  <si>
    <t>Увеличение процентной ставки</t>
  </si>
  <si>
    <t>Увеличение прямых издержек</t>
  </si>
  <si>
    <t>Net Sales</t>
  </si>
  <si>
    <t>Cost of Sales</t>
  </si>
  <si>
    <t>Taxes on Sales</t>
  </si>
  <si>
    <t xml:space="preserve">    Raw Materials and Components</t>
  </si>
  <si>
    <t xml:space="preserve">    Direct Labor Costs</t>
  </si>
  <si>
    <t>GROSS PROFIT</t>
  </si>
  <si>
    <t>Tax on Property</t>
  </si>
  <si>
    <t>Salary</t>
  </si>
  <si>
    <t xml:space="preserve">    fixed salary</t>
  </si>
  <si>
    <t>OPERATING PROFIT (EBIT)</t>
  </si>
  <si>
    <t>Depretiation</t>
  </si>
  <si>
    <t xml:space="preserve">    buildings</t>
  </si>
  <si>
    <t xml:space="preserve">    equipment</t>
  </si>
  <si>
    <t xml:space="preserve">    cars</t>
  </si>
  <si>
    <t xml:space="preserve">    other assets</t>
  </si>
  <si>
    <t>PROFIT BEFORE TAX</t>
  </si>
  <si>
    <t>Tax on Profit</t>
  </si>
  <si>
    <t>NET PROFIT</t>
  </si>
  <si>
    <t>INCOME STATEMENT</t>
  </si>
  <si>
    <t xml:space="preserve">    social insurance tax</t>
  </si>
  <si>
    <t xml:space="preserve">    office equipment</t>
  </si>
  <si>
    <t>Interest Expenses</t>
  </si>
  <si>
    <t>Cash</t>
  </si>
  <si>
    <t>Account Receivable</t>
  </si>
  <si>
    <t>Inventories</t>
  </si>
  <si>
    <t>Запасы</t>
  </si>
  <si>
    <t>Other Current Assets</t>
  </si>
  <si>
    <t>Total current assets</t>
  </si>
  <si>
    <t>Net Fixed Assets:</t>
  </si>
  <si>
    <t>Investments in Progress</t>
  </si>
  <si>
    <t>Other Assets</t>
  </si>
  <si>
    <t>Total fixed assets</t>
  </si>
  <si>
    <t>TOTAL ASSETS</t>
  </si>
  <si>
    <t>Accounts Payable</t>
  </si>
  <si>
    <t>Short Term Share of Loans</t>
  </si>
  <si>
    <t>Total Current Liabilities</t>
  </si>
  <si>
    <t>Long Term Debt</t>
  </si>
  <si>
    <t>Ordinary Shares Issued</t>
  </si>
  <si>
    <t>Reserves</t>
  </si>
  <si>
    <t>Retained Earnings</t>
  </si>
  <si>
    <t>Total Shareholders Equity</t>
  </si>
  <si>
    <t>TOTAL LIABILITIES &amp; EQUITY</t>
  </si>
  <si>
    <t>BALANCE SHEET</t>
  </si>
  <si>
    <t>Cash Receipts from Customers</t>
  </si>
  <si>
    <t>Cash Paid to Suppliers</t>
  </si>
  <si>
    <t>Operating Expenses Paid</t>
  </si>
  <si>
    <t>Salary and Social Insurance Tax</t>
  </si>
  <si>
    <t>Other Taxes Paid</t>
  </si>
  <si>
    <t>Net Cash from Operating Activities</t>
  </si>
  <si>
    <t>Purchase of Property and Equipment</t>
  </si>
  <si>
    <t>Other Start-Up Expenses Paid</t>
  </si>
  <si>
    <t>Net Cash from Investment Activities</t>
  </si>
  <si>
    <t>Proceeds from Issue of Share Capital</t>
  </si>
  <si>
    <t>Proceeds from Debt</t>
  </si>
  <si>
    <t>Repayment of Debt</t>
  </si>
  <si>
    <t>Interest Paid</t>
  </si>
  <si>
    <t>Net Cash from Financing Activities</t>
  </si>
  <si>
    <t>NET CASH FLOW</t>
  </si>
  <si>
    <t>Cash at Beginning of Period</t>
  </si>
  <si>
    <t>Cash at End of Period</t>
  </si>
  <si>
    <t>CASH FLOW STATEMENT</t>
  </si>
  <si>
    <t xml:space="preserve">    premium</t>
  </si>
  <si>
    <t>Construction Expenses Paid</t>
  </si>
  <si>
    <t>Производственные издержки</t>
  </si>
  <si>
    <t>Общие издержки:</t>
  </si>
  <si>
    <t>Operating Expenses:</t>
  </si>
  <si>
    <t xml:space="preserve">    производственные издержки</t>
  </si>
  <si>
    <t xml:space="preserve">    административные и офисные издержки</t>
  </si>
  <si>
    <t xml:space="preserve">    маркетинговые издержки</t>
  </si>
  <si>
    <t xml:space="preserve">    прочие расходы</t>
  </si>
  <si>
    <t xml:space="preserve">    production expenses</t>
  </si>
  <si>
    <t xml:space="preserve">    administrative &amp; office expenses</t>
  </si>
  <si>
    <t xml:space="preserve">    marketing expenses</t>
  </si>
  <si>
    <t xml:space="preserve">    other expenses</t>
  </si>
  <si>
    <t>Язык финансовых отчетов:</t>
  </si>
  <si>
    <t>Максимальное число периодов:</t>
  </si>
  <si>
    <t>Данные для меню выбора языка:</t>
  </si>
  <si>
    <t>Русский</t>
  </si>
  <si>
    <t>Английский</t>
  </si>
  <si>
    <t>Текущее значение выбранного языка:</t>
  </si>
  <si>
    <t>Максимальная длительность проекта:</t>
  </si>
  <si>
    <t>Позиции начала списков продуктов</t>
  </si>
  <si>
    <t>Зависимость NPV от отклонения параметров</t>
  </si>
  <si>
    <t>Объем продаж</t>
  </si>
  <si>
    <t>Цена продажи</t>
  </si>
  <si>
    <t>Материалы и комплектующие</t>
  </si>
  <si>
    <t>Анализ продаж по продуктам</t>
  </si>
  <si>
    <t>Анализ издержек по продуктам</t>
  </si>
  <si>
    <t>Анализ сдельной по продуктам</t>
  </si>
  <si>
    <t>Минимальные остатки на счете</t>
  </si>
  <si>
    <t>Максимальные отклонения параметров</t>
  </si>
  <si>
    <t>Текущее максимальное отклонение:</t>
  </si>
  <si>
    <t>Минимальные остатки на счете показывают запас финансовых ресурсов, которым вы располагаете.</t>
  </si>
  <si>
    <t>Отрицательный остаток означает недостаточность финансирования, в некоторые моменты</t>
  </si>
  <si>
    <t>проекта вы не сможете осуществлять необходимые платежи.</t>
  </si>
  <si>
    <t>Зеленый дом</t>
  </si>
  <si>
    <t>косметика</t>
  </si>
  <si>
    <t>товары для дома</t>
  </si>
  <si>
    <t>товар1</t>
  </si>
  <si>
    <t>период</t>
  </si>
  <si>
    <t>чистый денежный поток</t>
  </si>
  <si>
    <t>дисконтированный денежный поток</t>
  </si>
  <si>
    <t>накопленный денежный поток</t>
  </si>
  <si>
    <t>NVP=</t>
  </si>
  <si>
    <t>ДИСКОНТ накопленный денежный поток</t>
  </si>
  <si>
    <t>дискон срок окупаемости</t>
  </si>
  <si>
    <t>обычный срок окупаемости</t>
  </si>
  <si>
    <t>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</si>
</sst>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* #,##0.00_);_(* \(#,##0.00\);_(* &quot;-&quot;??_);_(@_)"/>
    <numFmt numFmtId="165" formatCode="_-* #,##0&quot; р &quot;_-;\-* #,##0&quot; р &quot;_-;_-* &quot;-&quot;&quot; р &quot;_-;_-@_-"/>
    <numFmt numFmtId="166" formatCode="_-* #,##0_ _р_ _-;\-* #,##0_ _р_ _-;_-* &quot;-&quot;_ _р_ _-;_-@_-"/>
    <numFmt numFmtId="167" formatCode="_-* #,##0.00&quot; р &quot;_-;\-* #,##0.00&quot; р &quot;_-;_-* &quot;-&quot;??&quot; р &quot;_-;_-@_-"/>
    <numFmt numFmtId="168" formatCode="_-* #,##0.00_ _р_ _-;\-* #,##0.00_ _р_ _-;_-* &quot;-&quot;??_ _р_ _-;_-@_-"/>
    <numFmt numFmtId="169" formatCode="0.0"/>
    <numFmt numFmtId="170" formatCode="0.0%"/>
    <numFmt numFmtId="171" formatCode="#,###;\-#,###;;@"/>
    <numFmt numFmtId="172" formatCode="#,###;[Red]\-#,###;;@"/>
    <numFmt numFmtId="173" formatCode="#,##0.0"/>
  </numFmts>
  <fonts count="25">
    <font>
      <sz val="10"/>
      <name val="Arial Cyr"/>
      <charset val="204"/>
    </font>
    <font>
      <sz val="10"/>
      <name val="Arial Cyr"/>
      <charset val="204"/>
    </font>
    <font>
      <sz val="10"/>
      <name val="ЏрЯмой Џроп"/>
    </font>
    <font>
      <sz val="11"/>
      <name val="Times New Roman Cyr"/>
      <charset val="204"/>
    </font>
    <font>
      <b/>
      <sz val="10"/>
      <name val="Arial Cyr"/>
      <family val="2"/>
      <charset val="204"/>
    </font>
    <font>
      <sz val="8"/>
      <name val="Arial Cyr"/>
      <family val="2"/>
      <charset val="204"/>
    </font>
    <font>
      <b/>
      <sz val="8"/>
      <name val="Arial Cyr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b/>
      <sz val="8"/>
      <color indexed="12"/>
      <name val="Arial"/>
      <family val="2"/>
      <charset val="204"/>
    </font>
    <font>
      <sz val="8"/>
      <color indexed="12"/>
      <name val="Arial"/>
      <family val="2"/>
      <charset val="204"/>
    </font>
    <font>
      <sz val="8"/>
      <color indexed="10"/>
      <name val="Arial"/>
      <family val="2"/>
      <charset val="204"/>
    </font>
    <font>
      <i/>
      <sz val="8"/>
      <name val="Arial"/>
      <family val="2"/>
      <charset val="204"/>
    </font>
    <font>
      <b/>
      <sz val="8"/>
      <color indexed="8"/>
      <name val="Arial"/>
      <family val="2"/>
      <charset val="204"/>
    </font>
    <font>
      <b/>
      <i/>
      <sz val="8"/>
      <name val="Arial"/>
      <family val="2"/>
      <charset val="204"/>
    </font>
    <font>
      <b/>
      <sz val="8"/>
      <color indexed="8"/>
      <name val="Arial Cyr"/>
      <family val="2"/>
      <charset val="204"/>
    </font>
    <font>
      <sz val="8"/>
      <color indexed="22"/>
      <name val="Arial"/>
      <family val="2"/>
      <charset val="204"/>
    </font>
    <font>
      <i/>
      <sz val="8"/>
      <name val="Arial Cyr"/>
      <family val="2"/>
      <charset val="204"/>
    </font>
    <font>
      <b/>
      <i/>
      <sz val="8"/>
      <name val="Arial Cyr"/>
      <family val="2"/>
      <charset val="204"/>
    </font>
    <font>
      <b/>
      <sz val="12"/>
      <color indexed="12"/>
      <name val="Arial"/>
      <family val="2"/>
      <charset val="204"/>
    </font>
    <font>
      <sz val="12"/>
      <name val="Arial"/>
      <family val="2"/>
      <charset val="204"/>
    </font>
    <font>
      <sz val="8"/>
      <color indexed="55"/>
      <name val="Arial Cyr"/>
      <family val="2"/>
      <charset val="204"/>
    </font>
    <font>
      <sz val="8"/>
      <color indexed="12"/>
      <name val="Arial Cyr"/>
      <family val="2"/>
      <charset val="204"/>
    </font>
    <font>
      <i/>
      <sz val="8"/>
      <color indexed="55"/>
      <name val="Arial Cyr"/>
      <family val="2"/>
      <charset val="204"/>
    </font>
    <font>
      <sz val="10"/>
      <color rgb="FF000000"/>
      <name val="Arial Cyr"/>
    </font>
  </fonts>
  <fills count="8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6"/>
        <bgColor indexed="9"/>
      </patternFill>
    </fill>
    <fill>
      <patternFill patternType="solid">
        <fgColor indexed="41"/>
        <bgColor indexed="9"/>
      </patternFill>
    </fill>
    <fill>
      <patternFill patternType="solid">
        <fgColor indexed="9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3">
    <xf numFmtId="0" fontId="0" fillId="0" borderId="0"/>
    <xf numFmtId="166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3" fillId="0" borderId="0"/>
    <xf numFmtId="9" fontId="1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368">
    <xf numFmtId="0" fontId="0" fillId="0" borderId="0" xfId="0"/>
    <xf numFmtId="0" fontId="4" fillId="2" borderId="1" xfId="0" applyFont="1" applyFill="1" applyBorder="1"/>
    <xf numFmtId="0" fontId="0" fillId="2" borderId="2" xfId="0" applyFill="1" applyBorder="1"/>
    <xf numFmtId="0" fontId="0" fillId="2" borderId="3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0" xfId="0" applyFont="1"/>
    <xf numFmtId="3" fontId="5" fillId="0" borderId="0" xfId="0" applyNumberFormat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8" fillId="0" borderId="0" xfId="7" applyFont="1"/>
    <xf numFmtId="3" fontId="8" fillId="0" borderId="11" xfId="3" applyNumberFormat="1" applyFont="1" applyBorder="1"/>
    <xf numFmtId="0" fontId="8" fillId="0" borderId="12" xfId="10" applyFont="1" applyBorder="1"/>
    <xf numFmtId="0" fontId="5" fillId="0" borderId="0" xfId="0" applyFont="1" applyAlignment="1">
      <alignment vertical="center" wrapText="1"/>
    </xf>
    <xf numFmtId="0" fontId="5" fillId="0" borderId="1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0" applyFont="1" applyBorder="1"/>
    <xf numFmtId="0" fontId="5" fillId="0" borderId="5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1" fontId="5" fillId="0" borderId="17" xfId="0" applyNumberFormat="1" applyFont="1" applyBorder="1"/>
    <xf numFmtId="1" fontId="5" fillId="0" borderId="18" xfId="0" applyNumberFormat="1" applyFont="1" applyBorder="1"/>
    <xf numFmtId="1" fontId="5" fillId="0" borderId="19" xfId="0" applyNumberFormat="1" applyFont="1" applyBorder="1"/>
    <xf numFmtId="0" fontId="8" fillId="0" borderId="20" xfId="10" applyFont="1" applyBorder="1"/>
    <xf numFmtId="0" fontId="8" fillId="0" borderId="21" xfId="10" applyFont="1" applyBorder="1"/>
    <xf numFmtId="3" fontId="8" fillId="0" borderId="22" xfId="3" applyNumberFormat="1" applyFont="1" applyBorder="1"/>
    <xf numFmtId="0" fontId="5" fillId="0" borderId="0" xfId="0" applyFont="1" applyProtection="1">
      <protection hidden="1"/>
    </xf>
    <xf numFmtId="0" fontId="6" fillId="3" borderId="23" xfId="0" applyFont="1" applyFill="1" applyBorder="1" applyAlignment="1" applyProtection="1">
      <alignment vertical="center"/>
      <protection hidden="1"/>
    </xf>
    <xf numFmtId="3" fontId="6" fillId="3" borderId="23" xfId="0" applyNumberFormat="1" applyFont="1" applyFill="1" applyBorder="1" applyAlignment="1" applyProtection="1">
      <alignment horizontal="center" vertical="center"/>
      <protection hidden="1"/>
    </xf>
    <xf numFmtId="0" fontId="5" fillId="0" borderId="24" xfId="0" applyFont="1" applyBorder="1" applyProtection="1">
      <protection hidden="1"/>
    </xf>
    <xf numFmtId="0" fontId="6" fillId="2" borderId="11" xfId="0" applyFont="1" applyFill="1" applyBorder="1" applyProtection="1">
      <protection hidden="1"/>
    </xf>
    <xf numFmtId="0" fontId="5" fillId="2" borderId="11" xfId="0" applyFont="1" applyFill="1" applyBorder="1" applyProtection="1">
      <protection hidden="1"/>
    </xf>
    <xf numFmtId="0" fontId="5" fillId="0" borderId="11" xfId="0" applyFont="1" applyBorder="1" applyProtection="1">
      <protection hidden="1"/>
    </xf>
    <xf numFmtId="2" fontId="5" fillId="0" borderId="11" xfId="0" applyNumberFormat="1" applyFont="1" applyBorder="1" applyAlignment="1" applyProtection="1">
      <alignment horizontal="right"/>
      <protection hidden="1"/>
    </xf>
    <xf numFmtId="3" fontId="5" fillId="0" borderId="11" xfId="0" applyNumberFormat="1" applyFont="1" applyBorder="1" applyProtection="1">
      <protection hidden="1"/>
    </xf>
    <xf numFmtId="170" fontId="5" fillId="0" borderId="11" xfId="0" applyNumberFormat="1" applyFont="1" applyBorder="1" applyAlignment="1" applyProtection="1">
      <alignment horizontal="right"/>
      <protection hidden="1"/>
    </xf>
    <xf numFmtId="0" fontId="5" fillId="0" borderId="25" xfId="0" applyFont="1" applyBorder="1" applyProtection="1">
      <protection hidden="1"/>
    </xf>
    <xf numFmtId="2" fontId="5" fillId="0" borderId="25" xfId="0" applyNumberFormat="1" applyFont="1" applyBorder="1" applyAlignment="1" applyProtection="1">
      <alignment horizontal="right"/>
      <protection hidden="1"/>
    </xf>
    <xf numFmtId="0" fontId="5" fillId="0" borderId="7" xfId="0" applyFont="1" applyBorder="1" applyProtection="1">
      <protection hidden="1"/>
    </xf>
    <xf numFmtId="3" fontId="5" fillId="0" borderId="24" xfId="0" applyNumberFormat="1" applyFont="1" applyBorder="1" applyProtection="1">
      <protection hidden="1"/>
    </xf>
    <xf numFmtId="0" fontId="5" fillId="0" borderId="8" xfId="0" applyFont="1" applyBorder="1" applyProtection="1">
      <protection hidden="1"/>
    </xf>
    <xf numFmtId="1" fontId="5" fillId="0" borderId="11" xfId="0" applyNumberFormat="1" applyFont="1" applyBorder="1" applyProtection="1">
      <protection hidden="1"/>
    </xf>
    <xf numFmtId="0" fontId="5" fillId="0" borderId="9" xfId="0" applyFont="1" applyBorder="1" applyProtection="1">
      <protection hidden="1"/>
    </xf>
    <xf numFmtId="1" fontId="5" fillId="0" borderId="25" xfId="0" applyNumberFormat="1" applyFont="1" applyBorder="1" applyProtection="1">
      <protection hidden="1"/>
    </xf>
    <xf numFmtId="0" fontId="6" fillId="2" borderId="7" xfId="0" applyFont="1" applyFill="1" applyBorder="1" applyProtection="1">
      <protection hidden="1"/>
    </xf>
    <xf numFmtId="1" fontId="6" fillId="0" borderId="26" xfId="0" applyNumberFormat="1" applyFont="1" applyBorder="1" applyProtection="1">
      <protection hidden="1"/>
    </xf>
    <xf numFmtId="0" fontId="6" fillId="0" borderId="27" xfId="0" applyFont="1" applyBorder="1" applyProtection="1">
      <protection hidden="1"/>
    </xf>
    <xf numFmtId="0" fontId="6" fillId="2" borderId="8" xfId="0" applyFont="1" applyFill="1" applyBorder="1" applyProtection="1">
      <protection hidden="1"/>
    </xf>
    <xf numFmtId="1" fontId="6" fillId="0" borderId="28" xfId="0" applyNumberFormat="1" applyFont="1" applyBorder="1" applyProtection="1">
      <protection hidden="1"/>
    </xf>
    <xf numFmtId="0" fontId="6" fillId="0" borderId="29" xfId="0" applyFont="1" applyBorder="1" applyProtection="1">
      <protection hidden="1"/>
    </xf>
    <xf numFmtId="0" fontId="6" fillId="2" borderId="9" xfId="0" applyFont="1" applyFill="1" applyBorder="1" applyProtection="1">
      <protection hidden="1"/>
    </xf>
    <xf numFmtId="1" fontId="5" fillId="0" borderId="30" xfId="0" applyNumberFormat="1" applyFont="1" applyBorder="1" applyProtection="1">
      <protection hidden="1"/>
    </xf>
    <xf numFmtId="0" fontId="5" fillId="0" borderId="10" xfId="0" applyFont="1" applyBorder="1" applyProtection="1">
      <protection hidden="1"/>
    </xf>
    <xf numFmtId="0" fontId="6" fillId="3" borderId="31" xfId="0" applyFont="1" applyFill="1" applyBorder="1" applyAlignment="1" applyProtection="1">
      <alignment vertical="center"/>
      <protection hidden="1"/>
    </xf>
    <xf numFmtId="1" fontId="5" fillId="3" borderId="18" xfId="0" applyNumberFormat="1" applyFont="1" applyFill="1" applyBorder="1" applyAlignment="1" applyProtection="1">
      <alignment vertical="center"/>
      <protection hidden="1"/>
    </xf>
    <xf numFmtId="0" fontId="5" fillId="3" borderId="18" xfId="0" applyFont="1" applyFill="1" applyBorder="1" applyAlignment="1" applyProtection="1">
      <alignment vertical="center"/>
      <protection hidden="1"/>
    </xf>
    <xf numFmtId="9" fontId="5" fillId="0" borderId="26" xfId="0" applyNumberFormat="1" applyFont="1" applyBorder="1" applyProtection="1">
      <protection hidden="1"/>
    </xf>
    <xf numFmtId="0" fontId="5" fillId="0" borderId="27" xfId="0" applyFont="1" applyBorder="1" applyProtection="1">
      <protection hidden="1"/>
    </xf>
    <xf numFmtId="0" fontId="5" fillId="2" borderId="32" xfId="0" applyFont="1" applyFill="1" applyBorder="1" applyProtection="1">
      <protection hidden="1"/>
    </xf>
    <xf numFmtId="1" fontId="5" fillId="0" borderId="28" xfId="0" applyNumberFormat="1" applyFont="1" applyBorder="1" applyProtection="1">
      <protection hidden="1"/>
    </xf>
    <xf numFmtId="0" fontId="5" fillId="0" borderId="29" xfId="0" applyFont="1" applyBorder="1" applyProtection="1">
      <protection hidden="1"/>
    </xf>
    <xf numFmtId="0" fontId="5" fillId="2" borderId="33" xfId="0" applyFont="1" applyFill="1" applyBorder="1" applyProtection="1">
      <protection hidden="1"/>
    </xf>
    <xf numFmtId="0" fontId="5" fillId="2" borderId="21" xfId="0" applyFont="1" applyFill="1" applyBorder="1" applyProtection="1">
      <protection hidden="1"/>
    </xf>
    <xf numFmtId="1" fontId="5" fillId="0" borderId="30" xfId="0" applyNumberFormat="1" applyFont="1" applyBorder="1" applyAlignment="1" applyProtection="1">
      <alignment horizontal="right"/>
      <protection hidden="1"/>
    </xf>
    <xf numFmtId="0" fontId="5" fillId="0" borderId="0" xfId="8" applyFont="1" applyProtection="1">
      <protection hidden="1"/>
    </xf>
    <xf numFmtId="0" fontId="15" fillId="3" borderId="23" xfId="8" applyFont="1" applyFill="1" applyBorder="1" applyAlignment="1" applyProtection="1">
      <alignment horizontal="left" vertical="center"/>
      <protection hidden="1"/>
    </xf>
    <xf numFmtId="3" fontId="6" fillId="3" borderId="23" xfId="7" applyNumberFormat="1" applyFont="1" applyFill="1" applyBorder="1" applyAlignment="1" applyProtection="1">
      <alignment horizontal="center" vertical="center"/>
      <protection hidden="1"/>
    </xf>
    <xf numFmtId="0" fontId="5" fillId="0" borderId="0" xfId="8" applyFont="1" applyAlignment="1" applyProtection="1">
      <alignment vertical="center"/>
      <protection hidden="1"/>
    </xf>
    <xf numFmtId="0" fontId="5" fillId="0" borderId="11" xfId="8" applyFont="1" applyBorder="1" applyProtection="1">
      <protection hidden="1"/>
    </xf>
    <xf numFmtId="3" fontId="5" fillId="0" borderId="0" xfId="8" applyNumberFormat="1" applyFont="1" applyProtection="1">
      <protection hidden="1"/>
    </xf>
    <xf numFmtId="0" fontId="6" fillId="2" borderId="11" xfId="8" applyFont="1" applyFill="1" applyBorder="1" applyProtection="1">
      <protection hidden="1"/>
    </xf>
    <xf numFmtId="0" fontId="6" fillId="4" borderId="11" xfId="8" applyFont="1" applyFill="1" applyBorder="1" applyProtection="1">
      <protection hidden="1"/>
    </xf>
    <xf numFmtId="0" fontId="5" fillId="0" borderId="25" xfId="8" applyFont="1" applyBorder="1" applyProtection="1">
      <protection hidden="1"/>
    </xf>
    <xf numFmtId="0" fontId="8" fillId="0" borderId="0" xfId="7" applyFont="1" applyProtection="1">
      <protection hidden="1"/>
    </xf>
    <xf numFmtId="0" fontId="13" fillId="3" borderId="34" xfId="7" applyFont="1" applyFill="1" applyBorder="1" applyAlignment="1" applyProtection="1">
      <alignment horizontal="left" vertical="center"/>
      <protection hidden="1"/>
    </xf>
    <xf numFmtId="3" fontId="7" fillId="3" borderId="23" xfId="7" applyNumberFormat="1" applyFont="1" applyFill="1" applyBorder="1" applyAlignment="1" applyProtection="1">
      <alignment horizontal="center" vertical="center"/>
      <protection hidden="1"/>
    </xf>
    <xf numFmtId="0" fontId="8" fillId="0" borderId="0" xfId="7" applyFont="1" applyAlignment="1" applyProtection="1">
      <alignment vertical="center"/>
      <protection hidden="1"/>
    </xf>
    <xf numFmtId="0" fontId="8" fillId="0" borderId="12" xfId="7" applyFont="1" applyBorder="1" applyProtection="1">
      <protection hidden="1"/>
    </xf>
    <xf numFmtId="0" fontId="7" fillId="2" borderId="12" xfId="7" applyFont="1" applyFill="1" applyBorder="1" applyProtection="1">
      <protection hidden="1"/>
    </xf>
    <xf numFmtId="0" fontId="8" fillId="0" borderId="12" xfId="10" applyFont="1" applyBorder="1" applyProtection="1">
      <protection hidden="1"/>
    </xf>
    <xf numFmtId="0" fontId="7" fillId="4" borderId="12" xfId="7" applyFont="1" applyFill="1" applyBorder="1" applyProtection="1">
      <protection hidden="1"/>
    </xf>
    <xf numFmtId="0" fontId="7" fillId="4" borderId="20" xfId="7" applyFont="1" applyFill="1" applyBorder="1" applyProtection="1">
      <protection hidden="1"/>
    </xf>
    <xf numFmtId="0" fontId="14" fillId="0" borderId="0" xfId="7" applyFont="1" applyProtection="1">
      <protection hidden="1"/>
    </xf>
    <xf numFmtId="3" fontId="14" fillId="0" borderId="0" xfId="3" applyNumberFormat="1" applyFont="1" applyBorder="1" applyProtection="1">
      <protection hidden="1"/>
    </xf>
    <xf numFmtId="3" fontId="14" fillId="0" borderId="0" xfId="3" applyNumberFormat="1" applyFont="1" applyProtection="1">
      <protection hidden="1"/>
    </xf>
    <xf numFmtId="3" fontId="8" fillId="0" borderId="0" xfId="9" applyNumberFormat="1" applyFont="1" applyProtection="1">
      <protection hidden="1"/>
    </xf>
    <xf numFmtId="0" fontId="8" fillId="0" borderId="0" xfId="9" applyFont="1" applyProtection="1">
      <protection hidden="1"/>
    </xf>
    <xf numFmtId="0" fontId="7" fillId="3" borderId="23" xfId="9" applyFont="1" applyFill="1" applyBorder="1" applyAlignment="1" applyProtection="1">
      <alignment horizontal="left" vertical="center"/>
      <protection hidden="1"/>
    </xf>
    <xf numFmtId="0" fontId="8" fillId="0" borderId="0" xfId="9" applyFont="1" applyAlignment="1" applyProtection="1">
      <alignment vertical="center"/>
      <protection hidden="1"/>
    </xf>
    <xf numFmtId="0" fontId="12" fillId="0" borderId="11" xfId="9" applyFont="1" applyBorder="1" applyProtection="1">
      <protection hidden="1"/>
    </xf>
    <xf numFmtId="0" fontId="7" fillId="5" borderId="11" xfId="9" applyFont="1" applyFill="1" applyBorder="1" applyProtection="1">
      <protection hidden="1"/>
    </xf>
    <xf numFmtId="0" fontId="8" fillId="0" borderId="11" xfId="9" applyFont="1" applyBorder="1" applyProtection="1">
      <protection hidden="1"/>
    </xf>
    <xf numFmtId="0" fontId="8" fillId="0" borderId="11" xfId="10" applyFont="1" applyBorder="1" applyProtection="1">
      <protection hidden="1"/>
    </xf>
    <xf numFmtId="0" fontId="7" fillId="0" borderId="11" xfId="9" applyFont="1" applyBorder="1" applyProtection="1">
      <protection hidden="1"/>
    </xf>
    <xf numFmtId="0" fontId="7" fillId="6" borderId="25" xfId="9" applyFont="1" applyFill="1" applyBorder="1" applyProtection="1">
      <protection hidden="1"/>
    </xf>
    <xf numFmtId="0" fontId="7" fillId="0" borderId="0" xfId="9" applyFont="1" applyProtection="1">
      <protection hidden="1"/>
    </xf>
    <xf numFmtId="3" fontId="7" fillId="0" borderId="0" xfId="9" applyNumberFormat="1" applyFont="1" applyProtection="1">
      <protection hidden="1"/>
    </xf>
    <xf numFmtId="0" fontId="7" fillId="3" borderId="1" xfId="10" applyFont="1" applyFill="1" applyBorder="1" applyAlignment="1" applyProtection="1">
      <alignment vertical="center"/>
      <protection hidden="1"/>
    </xf>
    <xf numFmtId="0" fontId="8" fillId="3" borderId="2" xfId="6" applyFont="1" applyFill="1" applyBorder="1" applyAlignment="1" applyProtection="1">
      <alignment horizontal="center" vertical="center"/>
      <protection hidden="1"/>
    </xf>
    <xf numFmtId="0" fontId="8" fillId="3" borderId="2" xfId="6" applyFont="1" applyFill="1" applyBorder="1" applyAlignment="1" applyProtection="1">
      <alignment vertical="center"/>
      <protection hidden="1"/>
    </xf>
    <xf numFmtId="0" fontId="8" fillId="3" borderId="3" xfId="6" applyFont="1" applyFill="1" applyBorder="1" applyAlignment="1" applyProtection="1">
      <alignment vertical="center"/>
      <protection hidden="1"/>
    </xf>
    <xf numFmtId="0" fontId="8" fillId="0" borderId="0" xfId="6" applyFont="1" applyAlignment="1" applyProtection="1">
      <alignment vertical="center"/>
      <protection hidden="1"/>
    </xf>
    <xf numFmtId="0" fontId="7" fillId="0" borderId="0" xfId="10" applyFont="1" applyProtection="1">
      <protection hidden="1"/>
    </xf>
    <xf numFmtId="0" fontId="8" fillId="0" borderId="0" xfId="6" applyFont="1" applyAlignment="1" applyProtection="1">
      <alignment horizontal="center"/>
      <protection hidden="1"/>
    </xf>
    <xf numFmtId="0" fontId="8" fillId="0" borderId="0" xfId="6" applyFont="1" applyProtection="1">
      <protection hidden="1"/>
    </xf>
    <xf numFmtId="0" fontId="8" fillId="2" borderId="7" xfId="10" applyFont="1" applyFill="1" applyBorder="1" applyProtection="1">
      <protection hidden="1"/>
    </xf>
    <xf numFmtId="0" fontId="8" fillId="2" borderId="13" xfId="6" applyFont="1" applyFill="1" applyBorder="1" applyAlignment="1" applyProtection="1">
      <alignment horizontal="center"/>
      <protection hidden="1"/>
    </xf>
    <xf numFmtId="0" fontId="8" fillId="2" borderId="27" xfId="6" applyFont="1" applyFill="1" applyBorder="1" applyProtection="1">
      <protection hidden="1"/>
    </xf>
    <xf numFmtId="0" fontId="8" fillId="2" borderId="8" xfId="10" applyFont="1" applyFill="1" applyBorder="1" applyProtection="1">
      <protection hidden="1"/>
    </xf>
    <xf numFmtId="0" fontId="8" fillId="2" borderId="0" xfId="6" applyFont="1" applyFill="1" applyAlignment="1" applyProtection="1">
      <alignment horizontal="center"/>
      <protection hidden="1"/>
    </xf>
    <xf numFmtId="0" fontId="8" fillId="2" borderId="29" xfId="6" applyFont="1" applyFill="1" applyBorder="1" applyProtection="1">
      <protection hidden="1"/>
    </xf>
    <xf numFmtId="3" fontId="9" fillId="2" borderId="29" xfId="6" applyNumberFormat="1" applyFont="1" applyFill="1" applyBorder="1" applyAlignment="1" applyProtection="1">
      <alignment horizontal="center"/>
      <protection hidden="1"/>
    </xf>
    <xf numFmtId="3" fontId="9" fillId="0" borderId="0" xfId="6" applyNumberFormat="1" applyFont="1" applyAlignment="1" applyProtection="1">
      <alignment horizontal="center"/>
      <protection hidden="1"/>
    </xf>
    <xf numFmtId="0" fontId="8" fillId="2" borderId="8" xfId="10" applyFont="1" applyFill="1" applyBorder="1" applyAlignment="1" applyProtection="1">
      <alignment horizontal="left" vertical="center"/>
      <protection hidden="1"/>
    </xf>
    <xf numFmtId="0" fontId="8" fillId="2" borderId="0" xfId="6" applyFont="1" applyFill="1" applyAlignment="1" applyProtection="1">
      <alignment horizontal="center" vertical="center"/>
      <protection hidden="1"/>
    </xf>
    <xf numFmtId="3" fontId="9" fillId="2" borderId="29" xfId="6" applyNumberFormat="1" applyFont="1" applyFill="1" applyBorder="1" applyAlignment="1" applyProtection="1">
      <alignment horizontal="center" vertical="center"/>
      <protection hidden="1"/>
    </xf>
    <xf numFmtId="3" fontId="9" fillId="0" borderId="0" xfId="6" applyNumberFormat="1" applyFont="1" applyAlignment="1" applyProtection="1">
      <alignment horizontal="center" vertical="center"/>
      <protection hidden="1"/>
    </xf>
    <xf numFmtId="0" fontId="8" fillId="2" borderId="9" xfId="10" applyFont="1" applyFill="1" applyBorder="1" applyAlignment="1" applyProtection="1">
      <alignment vertical="center"/>
      <protection hidden="1"/>
    </xf>
    <xf numFmtId="0" fontId="8" fillId="2" borderId="29" xfId="6" applyFont="1" applyFill="1" applyBorder="1" applyAlignment="1" applyProtection="1">
      <alignment vertical="center"/>
      <protection hidden="1"/>
    </xf>
    <xf numFmtId="0" fontId="8" fillId="2" borderId="10" xfId="6" applyFont="1" applyFill="1" applyBorder="1" applyProtection="1">
      <protection hidden="1"/>
    </xf>
    <xf numFmtId="3" fontId="8" fillId="3" borderId="2" xfId="6" applyNumberFormat="1" applyFont="1" applyFill="1" applyBorder="1" applyAlignment="1" applyProtection="1">
      <alignment horizontal="center" vertical="center"/>
      <protection hidden="1"/>
    </xf>
    <xf numFmtId="3" fontId="8" fillId="0" borderId="0" xfId="6" applyNumberFormat="1" applyFont="1" applyAlignment="1" applyProtection="1">
      <alignment horizontal="center"/>
      <protection hidden="1"/>
    </xf>
    <xf numFmtId="0" fontId="7" fillId="5" borderId="0" xfId="10" applyFont="1" applyFill="1" applyAlignment="1" applyProtection="1">
      <alignment horizontal="left"/>
      <protection hidden="1"/>
    </xf>
    <xf numFmtId="3" fontId="8" fillId="2" borderId="23" xfId="6" applyNumberFormat="1" applyFont="1" applyFill="1" applyBorder="1" applyAlignment="1" applyProtection="1">
      <alignment horizontal="center"/>
      <protection hidden="1"/>
    </xf>
    <xf numFmtId="3" fontId="8" fillId="0" borderId="0" xfId="6" applyNumberFormat="1" applyFont="1" applyProtection="1">
      <protection hidden="1"/>
    </xf>
    <xf numFmtId="0" fontId="7" fillId="2" borderId="0" xfId="10" applyFont="1" applyFill="1" applyAlignment="1" applyProtection="1">
      <alignment horizontal="left"/>
      <protection hidden="1"/>
    </xf>
    <xf numFmtId="3" fontId="8" fillId="2" borderId="0" xfId="6" applyNumberFormat="1" applyFont="1" applyFill="1" applyAlignment="1" applyProtection="1">
      <alignment horizontal="center"/>
      <protection hidden="1"/>
    </xf>
    <xf numFmtId="3" fontId="8" fillId="2" borderId="35" xfId="6" applyNumberFormat="1" applyFont="1" applyFill="1" applyBorder="1" applyAlignment="1" applyProtection="1">
      <alignment horizontal="center"/>
      <protection hidden="1"/>
    </xf>
    <xf numFmtId="4" fontId="8" fillId="0" borderId="0" xfId="6" applyNumberFormat="1" applyFont="1" applyProtection="1">
      <protection hidden="1"/>
    </xf>
    <xf numFmtId="0" fontId="7" fillId="5" borderId="0" xfId="10" applyFont="1" applyFill="1" applyProtection="1">
      <protection hidden="1"/>
    </xf>
    <xf numFmtId="3" fontId="8" fillId="5" borderId="0" xfId="6" applyNumberFormat="1" applyFont="1" applyFill="1" applyAlignment="1" applyProtection="1">
      <alignment horizontal="center"/>
      <protection hidden="1"/>
    </xf>
    <xf numFmtId="3" fontId="8" fillId="5" borderId="23" xfId="6" applyNumberFormat="1" applyFont="1" applyFill="1" applyBorder="1" applyAlignment="1" applyProtection="1">
      <alignment horizontal="center"/>
      <protection hidden="1"/>
    </xf>
    <xf numFmtId="3" fontId="8" fillId="5" borderId="35" xfId="6" applyNumberFormat="1" applyFont="1" applyFill="1" applyBorder="1" applyAlignment="1" applyProtection="1">
      <alignment horizontal="center"/>
      <protection hidden="1"/>
    </xf>
    <xf numFmtId="4" fontId="10" fillId="0" borderId="0" xfId="6" applyNumberFormat="1" applyFont="1" applyProtection="1">
      <protection hidden="1"/>
    </xf>
    <xf numFmtId="4" fontId="10" fillId="3" borderId="2" xfId="6" applyNumberFormat="1" applyFont="1" applyFill="1" applyBorder="1" applyAlignment="1" applyProtection="1">
      <alignment vertical="center"/>
      <protection hidden="1"/>
    </xf>
    <xf numFmtId="4" fontId="10" fillId="3" borderId="3" xfId="6" applyNumberFormat="1" applyFont="1" applyFill="1" applyBorder="1" applyAlignment="1" applyProtection="1">
      <alignment vertical="center"/>
      <protection hidden="1"/>
    </xf>
    <xf numFmtId="0" fontId="7" fillId="5" borderId="0" xfId="6" applyFont="1" applyFill="1" applyProtection="1">
      <protection hidden="1"/>
    </xf>
    <xf numFmtId="0" fontId="8" fillId="0" borderId="0" xfId="10" applyFont="1" applyProtection="1">
      <protection hidden="1"/>
    </xf>
    <xf numFmtId="0" fontId="8" fillId="5" borderId="0" xfId="6" applyFont="1" applyFill="1" applyAlignment="1" applyProtection="1">
      <alignment horizontal="center"/>
      <protection hidden="1"/>
    </xf>
    <xf numFmtId="3" fontId="8" fillId="0" borderId="0" xfId="10" applyNumberFormat="1" applyFont="1" applyAlignment="1" applyProtection="1">
      <alignment horizontal="center"/>
      <protection hidden="1"/>
    </xf>
    <xf numFmtId="3" fontId="8" fillId="5" borderId="36" xfId="6" applyNumberFormat="1" applyFont="1" applyFill="1" applyBorder="1" applyAlignment="1" applyProtection="1">
      <alignment horizontal="center"/>
      <protection hidden="1"/>
    </xf>
    <xf numFmtId="3" fontId="11" fillId="0" borderId="0" xfId="10" applyNumberFormat="1" applyFont="1" applyProtection="1">
      <protection hidden="1"/>
    </xf>
    <xf numFmtId="3" fontId="11" fillId="3" borderId="2" xfId="10" applyNumberFormat="1" applyFont="1" applyFill="1" applyBorder="1" applyAlignment="1" applyProtection="1">
      <alignment vertical="center"/>
      <protection hidden="1"/>
    </xf>
    <xf numFmtId="3" fontId="11" fillId="3" borderId="3" xfId="10" applyNumberFormat="1" applyFont="1" applyFill="1" applyBorder="1" applyAlignment="1" applyProtection="1">
      <alignment vertical="center"/>
      <protection hidden="1"/>
    </xf>
    <xf numFmtId="0" fontId="7" fillId="5" borderId="37" xfId="6" applyFont="1" applyFill="1" applyBorder="1" applyAlignment="1" applyProtection="1">
      <alignment horizontal="center"/>
      <protection hidden="1"/>
    </xf>
    <xf numFmtId="170" fontId="8" fillId="0" borderId="0" xfId="11" applyNumberFormat="1" applyFont="1" applyBorder="1" applyAlignment="1" applyProtection="1">
      <alignment horizontal="center"/>
      <protection hidden="1"/>
    </xf>
    <xf numFmtId="170" fontId="7" fillId="5" borderId="37" xfId="11" applyNumberFormat="1" applyFont="1" applyFill="1" applyBorder="1" applyAlignment="1" applyProtection="1">
      <alignment horizontal="center"/>
      <protection hidden="1"/>
    </xf>
    <xf numFmtId="10" fontId="11" fillId="0" borderId="0" xfId="11" applyNumberFormat="1" applyFont="1" applyBorder="1" applyAlignment="1" applyProtection="1">
      <alignment horizontal="center"/>
      <protection hidden="1"/>
    </xf>
    <xf numFmtId="10" fontId="11" fillId="3" borderId="2" xfId="11" applyNumberFormat="1" applyFont="1" applyFill="1" applyBorder="1" applyAlignment="1" applyProtection="1">
      <alignment horizontal="center" vertical="center"/>
      <protection hidden="1"/>
    </xf>
    <xf numFmtId="170" fontId="7" fillId="5" borderId="34" xfId="11" applyNumberFormat="1" applyFont="1" applyFill="1" applyBorder="1" applyAlignment="1" applyProtection="1">
      <alignment horizontal="center"/>
      <protection hidden="1"/>
    </xf>
    <xf numFmtId="0" fontId="7" fillId="5" borderId="35" xfId="6" applyFont="1" applyFill="1" applyBorder="1" applyAlignment="1" applyProtection="1">
      <alignment horizontal="center"/>
      <protection hidden="1"/>
    </xf>
    <xf numFmtId="3" fontId="8" fillId="0" borderId="38" xfId="10" applyNumberFormat="1" applyFont="1" applyBorder="1" applyAlignment="1" applyProtection="1">
      <alignment horizontal="right"/>
      <protection hidden="1"/>
    </xf>
    <xf numFmtId="3" fontId="8" fillId="0" borderId="39" xfId="10" applyNumberFormat="1" applyFont="1" applyBorder="1" applyAlignment="1" applyProtection="1">
      <alignment horizontal="right"/>
      <protection hidden="1"/>
    </xf>
    <xf numFmtId="3" fontId="8" fillId="0" borderId="40" xfId="10" applyNumberFormat="1" applyFont="1" applyBorder="1" applyAlignment="1" applyProtection="1">
      <alignment horizontal="right"/>
      <protection hidden="1"/>
    </xf>
    <xf numFmtId="3" fontId="8" fillId="0" borderId="40" xfId="3" applyNumberFormat="1" applyFont="1" applyBorder="1" applyProtection="1">
      <protection hidden="1"/>
    </xf>
    <xf numFmtId="3" fontId="12" fillId="0" borderId="20" xfId="3" applyNumberFormat="1" applyFont="1" applyBorder="1" applyProtection="1">
      <protection hidden="1"/>
    </xf>
    <xf numFmtId="3" fontId="12" fillId="0" borderId="41" xfId="3" applyNumberFormat="1" applyFont="1" applyBorder="1" applyProtection="1">
      <protection hidden="1"/>
    </xf>
    <xf numFmtId="0" fontId="8" fillId="5" borderId="0" xfId="6" applyFont="1" applyFill="1" applyProtection="1">
      <protection hidden="1"/>
    </xf>
    <xf numFmtId="170" fontId="8" fillId="5" borderId="0" xfId="11" applyNumberFormat="1" applyFont="1" applyFill="1" applyBorder="1" applyAlignment="1" applyProtection="1">
      <alignment horizontal="center"/>
      <protection hidden="1"/>
    </xf>
    <xf numFmtId="3" fontId="8" fillId="0" borderId="39" xfId="12" applyNumberFormat="1" applyFont="1" applyBorder="1" applyProtection="1">
      <protection hidden="1"/>
    </xf>
    <xf numFmtId="3" fontId="8" fillId="0" borderId="40" xfId="12" applyNumberFormat="1" applyFont="1" applyBorder="1" applyProtection="1">
      <protection hidden="1"/>
    </xf>
    <xf numFmtId="3" fontId="12" fillId="0" borderId="20" xfId="12" applyNumberFormat="1" applyFont="1" applyBorder="1" applyProtection="1">
      <protection hidden="1"/>
    </xf>
    <xf numFmtId="3" fontId="12" fillId="0" borderId="41" xfId="12" applyNumberFormat="1" applyFont="1" applyBorder="1" applyProtection="1">
      <protection hidden="1"/>
    </xf>
    <xf numFmtId="3" fontId="8" fillId="0" borderId="0" xfId="12" applyNumberFormat="1" applyFont="1" applyBorder="1" applyProtection="1">
      <protection hidden="1"/>
    </xf>
    <xf numFmtId="3" fontId="7" fillId="0" borderId="34" xfId="12" applyNumberFormat="1" applyFont="1" applyBorder="1" applyProtection="1">
      <protection hidden="1"/>
    </xf>
    <xf numFmtId="3" fontId="7" fillId="0" borderId="35" xfId="12" applyNumberFormat="1" applyFont="1" applyBorder="1" applyProtection="1">
      <protection hidden="1"/>
    </xf>
    <xf numFmtId="0" fontId="11" fillId="0" borderId="0" xfId="6" applyFont="1" applyProtection="1">
      <protection hidden="1"/>
    </xf>
    <xf numFmtId="3" fontId="7" fillId="0" borderId="0" xfId="12" applyNumberFormat="1" applyFont="1" applyBorder="1" applyProtection="1">
      <protection hidden="1"/>
    </xf>
    <xf numFmtId="3" fontId="7" fillId="5" borderId="0" xfId="12" applyNumberFormat="1" applyFont="1" applyFill="1" applyBorder="1" applyProtection="1">
      <protection hidden="1"/>
    </xf>
    <xf numFmtId="3" fontId="8" fillId="0" borderId="35" xfId="12" applyNumberFormat="1" applyFont="1" applyBorder="1" applyProtection="1">
      <protection hidden="1"/>
    </xf>
    <xf numFmtId="3" fontId="8" fillId="5" borderId="0" xfId="12" applyNumberFormat="1" applyFont="1" applyFill="1" applyBorder="1" applyProtection="1">
      <protection hidden="1"/>
    </xf>
    <xf numFmtId="0" fontId="12" fillId="0" borderId="0" xfId="10" applyFont="1" applyProtection="1">
      <protection hidden="1"/>
    </xf>
    <xf numFmtId="3" fontId="12" fillId="0" borderId="0" xfId="12" applyNumberFormat="1" applyFont="1" applyBorder="1" applyProtection="1">
      <protection hidden="1"/>
    </xf>
    <xf numFmtId="3" fontId="12" fillId="3" borderId="2" xfId="12" applyNumberFormat="1" applyFont="1" applyFill="1" applyBorder="1" applyAlignment="1" applyProtection="1">
      <alignment vertical="center"/>
      <protection hidden="1"/>
    </xf>
    <xf numFmtId="3" fontId="8" fillId="5" borderId="0" xfId="12" applyNumberFormat="1" applyFont="1" applyFill="1" applyBorder="1" applyAlignment="1" applyProtection="1">
      <alignment horizontal="center"/>
      <protection hidden="1"/>
    </xf>
    <xf numFmtId="3" fontId="8" fillId="0" borderId="0" xfId="10" applyNumberFormat="1" applyFont="1" applyProtection="1">
      <protection hidden="1"/>
    </xf>
    <xf numFmtId="3" fontId="8" fillId="0" borderId="25" xfId="10" applyNumberFormat="1" applyFont="1" applyBorder="1" applyProtection="1">
      <protection hidden="1"/>
    </xf>
    <xf numFmtId="3" fontId="7" fillId="0" borderId="0" xfId="10" applyNumberFormat="1" applyFont="1" applyProtection="1">
      <protection hidden="1"/>
    </xf>
    <xf numFmtId="3" fontId="8" fillId="5" borderId="0" xfId="10" applyNumberFormat="1" applyFont="1" applyFill="1" applyAlignment="1" applyProtection="1">
      <alignment horizontal="center"/>
      <protection hidden="1"/>
    </xf>
    <xf numFmtId="3" fontId="8" fillId="0" borderId="0" xfId="12" applyNumberFormat="1" applyFont="1" applyBorder="1" applyAlignment="1" applyProtection="1">
      <alignment horizontal="center"/>
      <protection hidden="1"/>
    </xf>
    <xf numFmtId="3" fontId="8" fillId="0" borderId="24" xfId="10" applyNumberFormat="1" applyFont="1" applyBorder="1" applyAlignment="1" applyProtection="1">
      <alignment horizontal="right"/>
      <protection hidden="1"/>
    </xf>
    <xf numFmtId="3" fontId="8" fillId="0" borderId="31" xfId="10" applyNumberFormat="1" applyFont="1" applyBorder="1" applyAlignment="1" applyProtection="1">
      <alignment horizontal="center"/>
      <protection hidden="1"/>
    </xf>
    <xf numFmtId="3" fontId="8" fillId="0" borderId="20" xfId="10" applyNumberFormat="1" applyFont="1" applyBorder="1" applyAlignment="1" applyProtection="1">
      <alignment horizontal="right"/>
      <protection hidden="1"/>
    </xf>
    <xf numFmtId="3" fontId="8" fillId="0" borderId="25" xfId="10" applyNumberFormat="1" applyFont="1" applyBorder="1" applyAlignment="1" applyProtection="1">
      <alignment horizontal="right"/>
      <protection hidden="1"/>
    </xf>
    <xf numFmtId="0" fontId="7" fillId="0" borderId="0" xfId="6" applyFont="1" applyAlignment="1" applyProtection="1">
      <alignment horizontal="center"/>
      <protection hidden="1"/>
    </xf>
    <xf numFmtId="3" fontId="7" fillId="0" borderId="0" xfId="6" applyNumberFormat="1" applyFont="1" applyProtection="1">
      <protection hidden="1"/>
    </xf>
    <xf numFmtId="0" fontId="7" fillId="0" borderId="0" xfId="6" applyFont="1" applyProtection="1">
      <protection hidden="1"/>
    </xf>
    <xf numFmtId="3" fontId="8" fillId="5" borderId="34" xfId="6" applyNumberFormat="1" applyFont="1" applyFill="1" applyBorder="1" applyAlignment="1" applyProtection="1">
      <alignment horizontal="center"/>
      <protection hidden="1"/>
    </xf>
    <xf numFmtId="3" fontId="8" fillId="0" borderId="37" xfId="6" applyNumberFormat="1" applyFont="1" applyBorder="1" applyAlignment="1" applyProtection="1">
      <alignment horizontal="center"/>
      <protection hidden="1"/>
    </xf>
    <xf numFmtId="3" fontId="8" fillId="0" borderId="38" xfId="10" applyNumberFormat="1" applyFont="1" applyBorder="1" applyProtection="1">
      <protection hidden="1"/>
    </xf>
    <xf numFmtId="3" fontId="8" fillId="0" borderId="24" xfId="10" applyNumberFormat="1" applyFont="1" applyBorder="1" applyProtection="1">
      <protection hidden="1"/>
    </xf>
    <xf numFmtId="170" fontId="8" fillId="0" borderId="12" xfId="11" applyNumberFormat="1" applyFont="1" applyBorder="1" applyProtection="1">
      <protection hidden="1"/>
    </xf>
    <xf numFmtId="170" fontId="8" fillId="0" borderId="11" xfId="11" applyNumberFormat="1" applyFont="1" applyBorder="1" applyProtection="1">
      <protection hidden="1"/>
    </xf>
    <xf numFmtId="3" fontId="8" fillId="0" borderId="20" xfId="10" applyNumberFormat="1" applyFont="1" applyBorder="1" applyProtection="1">
      <protection hidden="1"/>
    </xf>
    <xf numFmtId="3" fontId="8" fillId="0" borderId="24" xfId="6" applyNumberFormat="1" applyFont="1" applyBorder="1" applyProtection="1">
      <protection hidden="1"/>
    </xf>
    <xf numFmtId="3" fontId="8" fillId="0" borderId="11" xfId="6" applyNumberFormat="1" applyFont="1" applyBorder="1" applyProtection="1">
      <protection hidden="1"/>
    </xf>
    <xf numFmtId="3" fontId="8" fillId="0" borderId="25" xfId="6" applyNumberFormat="1" applyFont="1" applyBorder="1" applyProtection="1">
      <protection hidden="1"/>
    </xf>
    <xf numFmtId="0" fontId="8" fillId="7" borderId="42" xfId="6" applyFont="1" applyFill="1" applyBorder="1" applyAlignment="1" applyProtection="1">
      <alignment vertical="center"/>
      <protection locked="0"/>
    </xf>
    <xf numFmtId="0" fontId="8" fillId="7" borderId="33" xfId="6" applyFont="1" applyFill="1" applyBorder="1" applyAlignment="1" applyProtection="1">
      <alignment vertical="center"/>
      <protection locked="0"/>
    </xf>
    <xf numFmtId="3" fontId="10" fillId="0" borderId="22" xfId="6" applyNumberFormat="1" applyFont="1" applyBorder="1" applyProtection="1">
      <protection locked="0"/>
    </xf>
    <xf numFmtId="3" fontId="10" fillId="0" borderId="11" xfId="6" applyNumberFormat="1" applyFont="1" applyBorder="1" applyProtection="1">
      <protection locked="0"/>
    </xf>
    <xf numFmtId="4" fontId="10" fillId="0" borderId="22" xfId="6" applyNumberFormat="1" applyFont="1" applyBorder="1" applyProtection="1">
      <protection locked="0"/>
    </xf>
    <xf numFmtId="4" fontId="10" fillId="0" borderId="11" xfId="6" applyNumberFormat="1" applyFont="1" applyBorder="1" applyProtection="1">
      <protection locked="0"/>
    </xf>
    <xf numFmtId="3" fontId="10" fillId="0" borderId="25" xfId="6" applyNumberFormat="1" applyFont="1" applyBorder="1" applyProtection="1">
      <protection locked="0"/>
    </xf>
    <xf numFmtId="3" fontId="10" fillId="0" borderId="22" xfId="10" applyNumberFormat="1" applyFont="1" applyBorder="1" applyProtection="1">
      <protection locked="0"/>
    </xf>
    <xf numFmtId="3" fontId="10" fillId="0" borderId="11" xfId="10" applyNumberFormat="1" applyFont="1" applyBorder="1" applyProtection="1">
      <protection locked="0"/>
    </xf>
    <xf numFmtId="3" fontId="10" fillId="0" borderId="24" xfId="11" applyNumberFormat="1" applyFont="1" applyBorder="1" applyProtection="1">
      <protection locked="0"/>
    </xf>
    <xf numFmtId="170" fontId="10" fillId="0" borderId="11" xfId="11" applyNumberFormat="1" applyFont="1" applyBorder="1" applyProtection="1">
      <protection locked="0"/>
    </xf>
    <xf numFmtId="3" fontId="10" fillId="0" borderId="25" xfId="10" applyNumberFormat="1" applyFont="1" applyBorder="1" applyProtection="1">
      <protection locked="0"/>
    </xf>
    <xf numFmtId="170" fontId="10" fillId="0" borderId="43" xfId="11" applyNumberFormat="1" applyFont="1" applyFill="1" applyBorder="1" applyAlignment="1" applyProtection="1">
      <alignment horizontal="center"/>
      <protection locked="0"/>
    </xf>
    <xf numFmtId="170" fontId="10" fillId="0" borderId="44" xfId="11" applyNumberFormat="1" applyFont="1" applyFill="1" applyBorder="1" applyAlignment="1" applyProtection="1">
      <alignment horizontal="center"/>
      <protection locked="0"/>
    </xf>
    <xf numFmtId="170" fontId="10" fillId="0" borderId="45" xfId="11" applyNumberFormat="1" applyFont="1" applyFill="1" applyBorder="1" applyAlignment="1" applyProtection="1">
      <alignment horizontal="center"/>
      <protection locked="0"/>
    </xf>
    <xf numFmtId="10" fontId="10" fillId="0" borderId="43" xfId="11" applyNumberFormat="1" applyFont="1" applyBorder="1" applyAlignment="1" applyProtection="1">
      <alignment horizontal="center"/>
      <protection locked="0"/>
    </xf>
    <xf numFmtId="10" fontId="10" fillId="0" borderId="44" xfId="11" applyNumberFormat="1" applyFont="1" applyBorder="1" applyAlignment="1" applyProtection="1">
      <alignment horizontal="center"/>
      <protection locked="0"/>
    </xf>
    <xf numFmtId="10" fontId="10" fillId="0" borderId="45" xfId="11" applyNumberFormat="1" applyFont="1" applyBorder="1" applyAlignment="1" applyProtection="1">
      <alignment horizontal="center"/>
      <protection locked="0"/>
    </xf>
    <xf numFmtId="3" fontId="10" fillId="0" borderId="12" xfId="6" applyNumberFormat="1" applyFont="1" applyBorder="1" applyProtection="1">
      <protection locked="0"/>
    </xf>
    <xf numFmtId="3" fontId="10" fillId="0" borderId="38" xfId="6" applyNumberFormat="1" applyFont="1" applyBorder="1" applyProtection="1">
      <protection locked="0"/>
    </xf>
    <xf numFmtId="3" fontId="10" fillId="0" borderId="34" xfId="12" applyNumberFormat="1" applyFont="1" applyBorder="1" applyProtection="1">
      <protection locked="0"/>
    </xf>
    <xf numFmtId="0" fontId="9" fillId="0" borderId="0" xfId="10" applyFont="1" applyProtection="1">
      <protection locked="0"/>
    </xf>
    <xf numFmtId="3" fontId="10" fillId="0" borderId="24" xfId="10" applyNumberFormat="1" applyFont="1" applyBorder="1" applyProtection="1">
      <protection locked="0"/>
    </xf>
    <xf numFmtId="3" fontId="10" fillId="0" borderId="23" xfId="10" applyNumberFormat="1" applyFont="1" applyBorder="1" applyProtection="1">
      <protection locked="0"/>
    </xf>
    <xf numFmtId="3" fontId="10" fillId="0" borderId="12" xfId="12" applyNumberFormat="1" applyFont="1" applyBorder="1" applyProtection="1">
      <protection locked="0"/>
    </xf>
    <xf numFmtId="10" fontId="10" fillId="0" borderId="37" xfId="11" applyNumberFormat="1" applyFont="1" applyBorder="1" applyAlignment="1" applyProtection="1">
      <alignment horizontal="center"/>
      <protection locked="0"/>
    </xf>
    <xf numFmtId="3" fontId="10" fillId="0" borderId="12" xfId="10" applyNumberFormat="1" applyFont="1" applyBorder="1" applyProtection="1">
      <protection locked="0"/>
    </xf>
    <xf numFmtId="0" fontId="10" fillId="0" borderId="12" xfId="6" applyFont="1" applyBorder="1" applyProtection="1">
      <protection locked="0"/>
    </xf>
    <xf numFmtId="0" fontId="10" fillId="0" borderId="11" xfId="6" applyFont="1" applyBorder="1" applyProtection="1">
      <protection locked="0"/>
    </xf>
    <xf numFmtId="3" fontId="10" fillId="0" borderId="43" xfId="11" applyNumberFormat="1" applyFont="1" applyFill="1" applyBorder="1" applyAlignment="1" applyProtection="1">
      <alignment horizontal="center"/>
      <protection locked="0"/>
    </xf>
    <xf numFmtId="3" fontId="10" fillId="0" borderId="44" xfId="11" applyNumberFormat="1" applyFont="1" applyFill="1" applyBorder="1" applyAlignment="1" applyProtection="1">
      <alignment horizontal="center"/>
      <protection locked="0"/>
    </xf>
    <xf numFmtId="3" fontId="10" fillId="0" borderId="44" xfId="11" applyNumberFormat="1" applyFont="1" applyBorder="1" applyAlignment="1" applyProtection="1">
      <alignment horizontal="center"/>
      <protection locked="0"/>
    </xf>
    <xf numFmtId="3" fontId="10" fillId="0" borderId="45" xfId="11" applyNumberFormat="1" applyFont="1" applyFill="1" applyBorder="1" applyAlignment="1" applyProtection="1">
      <alignment horizontal="center"/>
      <protection locked="0"/>
    </xf>
    <xf numFmtId="3" fontId="16" fillId="0" borderId="0" xfId="6" applyNumberFormat="1" applyFont="1" applyAlignment="1" applyProtection="1">
      <alignment horizontal="center"/>
      <protection hidden="1"/>
    </xf>
    <xf numFmtId="0" fontId="16" fillId="0" borderId="0" xfId="10" applyFont="1" applyAlignment="1" applyProtection="1">
      <alignment horizontal="center"/>
      <protection hidden="1"/>
    </xf>
    <xf numFmtId="0" fontId="7" fillId="2" borderId="8" xfId="10" quotePrefix="1" applyFont="1" applyFill="1" applyBorder="1" applyAlignment="1" applyProtection="1">
      <alignment horizontal="left"/>
      <protection hidden="1"/>
    </xf>
    <xf numFmtId="0" fontId="7" fillId="2" borderId="46" xfId="10" quotePrefix="1" applyFont="1" applyFill="1" applyBorder="1" applyProtection="1">
      <protection hidden="1"/>
    </xf>
    <xf numFmtId="0" fontId="10" fillId="0" borderId="0" xfId="10" applyFont="1" applyProtection="1">
      <protection locked="0"/>
    </xf>
    <xf numFmtId="0" fontId="7" fillId="0" borderId="22" xfId="9" applyFont="1" applyBorder="1" applyProtection="1">
      <protection hidden="1"/>
    </xf>
    <xf numFmtId="0" fontId="5" fillId="0" borderId="22" xfId="8" applyFont="1" applyBorder="1" applyAlignment="1" applyProtection="1">
      <alignment horizontal="left"/>
      <protection hidden="1"/>
    </xf>
    <xf numFmtId="0" fontId="17" fillId="0" borderId="0" xfId="0" applyFont="1"/>
    <xf numFmtId="3" fontId="10" fillId="0" borderId="0" xfId="6" applyNumberFormat="1" applyFont="1" applyProtection="1">
      <protection locked="0"/>
    </xf>
    <xf numFmtId="3" fontId="7" fillId="5" borderId="23" xfId="6" applyNumberFormat="1" applyFont="1" applyFill="1" applyBorder="1" applyAlignment="1" applyProtection="1">
      <alignment horizontal="center"/>
      <protection hidden="1"/>
    </xf>
    <xf numFmtId="0" fontId="6" fillId="0" borderId="0" xfId="0" applyFont="1"/>
    <xf numFmtId="0" fontId="5" fillId="0" borderId="11" xfId="0" applyFont="1" applyBorder="1"/>
    <xf numFmtId="0" fontId="5" fillId="0" borderId="22" xfId="0" applyFont="1" applyBorder="1"/>
    <xf numFmtId="0" fontId="6" fillId="0" borderId="34" xfId="0" applyFont="1" applyBorder="1"/>
    <xf numFmtId="0" fontId="5" fillId="0" borderId="23" xfId="0" applyFont="1" applyBorder="1"/>
    <xf numFmtId="0" fontId="17" fillId="0" borderId="0" xfId="0" applyFont="1" applyAlignment="1">
      <alignment horizontal="center"/>
    </xf>
    <xf numFmtId="4" fontId="10" fillId="0" borderId="14" xfId="6" applyNumberFormat="1" applyFont="1" applyBorder="1" applyProtection="1">
      <protection locked="0"/>
    </xf>
    <xf numFmtId="4" fontId="10" fillId="0" borderId="47" xfId="6" applyNumberFormat="1" applyFont="1" applyBorder="1" applyProtection="1">
      <protection locked="0"/>
    </xf>
    <xf numFmtId="0" fontId="17" fillId="0" borderId="11" xfId="0" applyFont="1" applyBorder="1" applyProtection="1">
      <protection hidden="1"/>
    </xf>
    <xf numFmtId="0" fontId="6" fillId="0" borderId="48" xfId="0" applyFont="1" applyBorder="1"/>
    <xf numFmtId="0" fontId="6" fillId="0" borderId="1" xfId="0" applyFont="1" applyBorder="1"/>
    <xf numFmtId="0" fontId="5" fillId="0" borderId="2" xfId="0" applyFont="1" applyBorder="1"/>
    <xf numFmtId="169" fontId="8" fillId="7" borderId="38" xfId="6" applyNumberFormat="1" applyFont="1" applyFill="1" applyBorder="1" applyAlignment="1" applyProtection="1">
      <alignment horizontal="center"/>
      <protection locked="0"/>
    </xf>
    <xf numFmtId="0" fontId="8" fillId="0" borderId="11" xfId="7" applyFont="1" applyBorder="1" applyProtection="1">
      <protection hidden="1"/>
    </xf>
    <xf numFmtId="0" fontId="7" fillId="0" borderId="0" xfId="10" applyFont="1" applyAlignment="1" applyProtection="1">
      <alignment vertical="center"/>
      <protection hidden="1"/>
    </xf>
    <xf numFmtId="0" fontId="8" fillId="0" borderId="0" xfId="6" applyFont="1" applyAlignment="1" applyProtection="1">
      <alignment horizontal="center" vertical="center"/>
      <protection hidden="1"/>
    </xf>
    <xf numFmtId="171" fontId="7" fillId="0" borderId="22" xfId="9" applyNumberFormat="1" applyFont="1" applyBorder="1" applyProtection="1">
      <protection hidden="1"/>
    </xf>
    <xf numFmtId="171" fontId="7" fillId="0" borderId="11" xfId="9" applyNumberFormat="1" applyFont="1" applyBorder="1" applyProtection="1">
      <protection hidden="1"/>
    </xf>
    <xf numFmtId="171" fontId="8" fillId="0" borderId="11" xfId="9" applyNumberFormat="1" applyFont="1" applyBorder="1" applyProtection="1">
      <protection hidden="1"/>
    </xf>
    <xf numFmtId="171" fontId="7" fillId="5" borderId="11" xfId="9" applyNumberFormat="1" applyFont="1" applyFill="1" applyBorder="1" applyProtection="1">
      <protection hidden="1"/>
    </xf>
    <xf numFmtId="171" fontId="8" fillId="5" borderId="11" xfId="9" applyNumberFormat="1" applyFont="1" applyFill="1" applyBorder="1" applyProtection="1">
      <protection hidden="1"/>
    </xf>
    <xf numFmtId="171" fontId="7" fillId="6" borderId="25" xfId="9" applyNumberFormat="1" applyFont="1" applyFill="1" applyBorder="1" applyProtection="1">
      <protection hidden="1"/>
    </xf>
    <xf numFmtId="171" fontId="8" fillId="0" borderId="11" xfId="3" applyNumberFormat="1" applyFont="1" applyBorder="1" applyProtection="1">
      <protection hidden="1"/>
    </xf>
    <xf numFmtId="171" fontId="7" fillId="2" borderId="11" xfId="3" applyNumberFormat="1" applyFont="1" applyFill="1" applyBorder="1" applyProtection="1">
      <protection hidden="1"/>
    </xf>
    <xf numFmtId="171" fontId="7" fillId="4" borderId="11" xfId="3" applyNumberFormat="1" applyFont="1" applyFill="1" applyBorder="1" applyProtection="1">
      <protection hidden="1"/>
    </xf>
    <xf numFmtId="171" fontId="8" fillId="0" borderId="11" xfId="7" applyNumberFormat="1" applyFont="1" applyBorder="1" applyProtection="1">
      <protection hidden="1"/>
    </xf>
    <xf numFmtId="171" fontId="7" fillId="4" borderId="25" xfId="3" applyNumberFormat="1" applyFont="1" applyFill="1" applyBorder="1" applyProtection="1">
      <protection hidden="1"/>
    </xf>
    <xf numFmtId="171" fontId="6" fillId="2" borderId="11" xfId="8" applyNumberFormat="1" applyFont="1" applyFill="1" applyBorder="1" applyProtection="1">
      <protection hidden="1"/>
    </xf>
    <xf numFmtId="171" fontId="5" fillId="0" borderId="11" xfId="8" applyNumberFormat="1" applyFont="1" applyBorder="1" applyProtection="1">
      <protection hidden="1"/>
    </xf>
    <xf numFmtId="171" fontId="6" fillId="4" borderId="11" xfId="8" applyNumberFormat="1" applyFont="1" applyFill="1" applyBorder="1" applyProtection="1">
      <protection hidden="1"/>
    </xf>
    <xf numFmtId="171" fontId="5" fillId="0" borderId="25" xfId="8" applyNumberFormat="1" applyFont="1" applyBorder="1" applyProtection="1">
      <protection hidden="1"/>
    </xf>
    <xf numFmtId="171" fontId="5" fillId="0" borderId="11" xfId="0" applyNumberFormat="1" applyFont="1" applyBorder="1" applyProtection="1">
      <protection hidden="1"/>
    </xf>
    <xf numFmtId="171" fontId="18" fillId="0" borderId="22" xfId="8" applyNumberFormat="1" applyFont="1" applyBorder="1" applyAlignment="1" applyProtection="1">
      <alignment horizontal="center"/>
      <protection hidden="1"/>
    </xf>
    <xf numFmtId="171" fontId="5" fillId="0" borderId="22" xfId="8" applyNumberFormat="1" applyFont="1" applyBorder="1" applyProtection="1">
      <protection hidden="1"/>
    </xf>
    <xf numFmtId="0" fontId="20" fillId="0" borderId="0" xfId="6" applyFont="1" applyAlignment="1" applyProtection="1">
      <alignment vertical="center"/>
      <protection hidden="1"/>
    </xf>
    <xf numFmtId="0" fontId="14" fillId="0" borderId="0" xfId="10" applyFont="1" applyProtection="1">
      <protection hidden="1"/>
    </xf>
    <xf numFmtId="1" fontId="14" fillId="0" borderId="0" xfId="6" applyNumberFormat="1" applyFont="1" applyAlignment="1" applyProtection="1">
      <alignment horizontal="center"/>
      <protection hidden="1"/>
    </xf>
    <xf numFmtId="0" fontId="14" fillId="0" borderId="0" xfId="6" applyFont="1" applyProtection="1"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4" borderId="0" xfId="0" applyFont="1" applyFill="1" applyProtection="1">
      <protection hidden="1"/>
    </xf>
    <xf numFmtId="0" fontId="6" fillId="0" borderId="0" xfId="0" applyFont="1" applyAlignment="1" applyProtection="1">
      <alignment horizontal="left"/>
      <protection hidden="1"/>
    </xf>
    <xf numFmtId="0" fontId="19" fillId="0" borderId="0" xfId="10" applyFont="1" applyAlignment="1" applyProtection="1">
      <alignment vertical="center"/>
      <protection locked="0"/>
    </xf>
    <xf numFmtId="0" fontId="20" fillId="0" borderId="0" xfId="6" applyFont="1" applyAlignment="1" applyProtection="1">
      <alignment horizontal="center" vertical="center"/>
      <protection hidden="1"/>
    </xf>
    <xf numFmtId="0" fontId="7" fillId="3" borderId="2" xfId="6" applyFont="1" applyFill="1" applyBorder="1" applyAlignment="1" applyProtection="1">
      <alignment horizontal="left" vertical="center"/>
      <protection hidden="1"/>
    </xf>
    <xf numFmtId="0" fontId="13" fillId="3" borderId="49" xfId="7" applyFont="1" applyFill="1" applyBorder="1" applyAlignment="1" applyProtection="1">
      <alignment horizontal="left" vertical="center"/>
      <protection hidden="1"/>
    </xf>
    <xf numFmtId="0" fontId="8" fillId="0" borderId="3" xfId="7" applyFont="1" applyBorder="1" applyProtection="1">
      <protection hidden="1"/>
    </xf>
    <xf numFmtId="0" fontId="7" fillId="2" borderId="3" xfId="7" applyFont="1" applyFill="1" applyBorder="1" applyProtection="1">
      <protection hidden="1"/>
    </xf>
    <xf numFmtId="0" fontId="7" fillId="4" borderId="3" xfId="7" applyFont="1" applyFill="1" applyBorder="1" applyProtection="1">
      <protection hidden="1"/>
    </xf>
    <xf numFmtId="0" fontId="7" fillId="4" borderId="50" xfId="7" applyFont="1" applyFill="1" applyBorder="1" applyProtection="1">
      <protection hidden="1"/>
    </xf>
    <xf numFmtId="0" fontId="5" fillId="0" borderId="28" xfId="0" applyFont="1" applyBorder="1" applyAlignment="1">
      <alignment horizontal="center"/>
    </xf>
    <xf numFmtId="0" fontId="5" fillId="0" borderId="30" xfId="0" applyFont="1" applyBorder="1" applyAlignment="1">
      <alignment horizontal="center"/>
    </xf>
    <xf numFmtId="0" fontId="5" fillId="0" borderId="51" xfId="0" applyFont="1" applyBorder="1" applyAlignment="1">
      <alignment horizontal="center"/>
    </xf>
    <xf numFmtId="0" fontId="5" fillId="0" borderId="29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21" fillId="0" borderId="22" xfId="0" applyFont="1" applyBorder="1" applyAlignment="1">
      <alignment horizontal="center"/>
    </xf>
    <xf numFmtId="14" fontId="5" fillId="0" borderId="14" xfId="0" applyNumberFormat="1" applyFont="1" applyBorder="1" applyAlignment="1">
      <alignment horizontal="center"/>
    </xf>
    <xf numFmtId="14" fontId="21" fillId="0" borderId="14" xfId="0" applyNumberFormat="1" applyFont="1" applyBorder="1" applyAlignment="1">
      <alignment horizontal="center"/>
    </xf>
    <xf numFmtId="14" fontId="21" fillId="0" borderId="22" xfId="0" applyNumberFormat="1" applyFont="1" applyBorder="1" applyAlignment="1">
      <alignment horizontal="center"/>
    </xf>
    <xf numFmtId="0" fontId="5" fillId="0" borderId="31" xfId="0" applyFont="1" applyBorder="1" applyAlignment="1">
      <alignment horizontal="center" vertical="center" wrapText="1"/>
    </xf>
    <xf numFmtId="0" fontId="5" fillId="0" borderId="23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6" fillId="4" borderId="11" xfId="0" applyFont="1" applyFill="1" applyBorder="1" applyProtection="1">
      <protection hidden="1"/>
    </xf>
    <xf numFmtId="0" fontId="8" fillId="0" borderId="22" xfId="10" applyFont="1" applyBorder="1" applyProtection="1">
      <protection hidden="1"/>
    </xf>
    <xf numFmtId="0" fontId="7" fillId="5" borderId="23" xfId="10" applyFont="1" applyFill="1" applyBorder="1" applyProtection="1">
      <protection hidden="1"/>
    </xf>
    <xf numFmtId="0" fontId="8" fillId="5" borderId="23" xfId="10" applyFont="1" applyFill="1" applyBorder="1" applyAlignment="1" applyProtection="1">
      <alignment horizontal="center"/>
      <protection hidden="1"/>
    </xf>
    <xf numFmtId="9" fontId="22" fillId="0" borderId="0" xfId="0" applyNumberFormat="1" applyFont="1" applyAlignment="1" applyProtection="1">
      <alignment horizontal="center"/>
      <protection locked="0"/>
    </xf>
    <xf numFmtId="171" fontId="5" fillId="0" borderId="22" xfId="0" applyNumberFormat="1" applyFont="1" applyBorder="1" applyProtection="1">
      <protection hidden="1"/>
    </xf>
    <xf numFmtId="171" fontId="5" fillId="4" borderId="11" xfId="0" applyNumberFormat="1" applyFont="1" applyFill="1" applyBorder="1" applyProtection="1">
      <protection hidden="1"/>
    </xf>
    <xf numFmtId="171" fontId="5" fillId="0" borderId="25" xfId="0" applyNumberFormat="1" applyFont="1" applyBorder="1" applyProtection="1">
      <protection hidden="1"/>
    </xf>
    <xf numFmtId="171" fontId="6" fillId="0" borderId="0" xfId="0" applyNumberFormat="1" applyFont="1" applyAlignment="1" applyProtection="1">
      <alignment horizontal="center"/>
      <protection hidden="1"/>
    </xf>
    <xf numFmtId="0" fontId="12" fillId="0" borderId="22" xfId="9" applyFont="1" applyBorder="1" applyProtection="1">
      <protection hidden="1"/>
    </xf>
    <xf numFmtId="171" fontId="8" fillId="0" borderId="22" xfId="9" applyNumberFormat="1" applyFont="1" applyBorder="1" applyProtection="1">
      <protection hidden="1"/>
    </xf>
    <xf numFmtId="0" fontId="12" fillId="0" borderId="52" xfId="9" applyFont="1" applyBorder="1" applyProtection="1">
      <protection hidden="1"/>
    </xf>
    <xf numFmtId="171" fontId="8" fillId="0" borderId="52" xfId="9" applyNumberFormat="1" applyFont="1" applyBorder="1" applyProtection="1">
      <protection hidden="1"/>
    </xf>
    <xf numFmtId="0" fontId="17" fillId="0" borderId="22" xfId="0" applyFont="1" applyBorder="1" applyProtection="1">
      <protection hidden="1"/>
    </xf>
    <xf numFmtId="171" fontId="6" fillId="2" borderId="11" xfId="0" applyNumberFormat="1" applyFont="1" applyFill="1" applyBorder="1" applyProtection="1">
      <protection hidden="1"/>
    </xf>
    <xf numFmtId="0" fontId="21" fillId="0" borderId="51" xfId="0" applyFont="1" applyBorder="1" applyAlignment="1">
      <alignment horizontal="center"/>
    </xf>
    <xf numFmtId="0" fontId="5" fillId="0" borderId="53" xfId="0" applyFont="1" applyBorder="1" applyAlignment="1">
      <alignment horizontal="center"/>
    </xf>
    <xf numFmtId="0" fontId="5" fillId="0" borderId="54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0" fontId="5" fillId="0" borderId="31" xfId="0" applyFont="1" applyBorder="1"/>
    <xf numFmtId="0" fontId="5" fillId="0" borderId="22" xfId="0" applyFont="1" applyBorder="1" applyProtection="1">
      <protection hidden="1"/>
    </xf>
    <xf numFmtId="0" fontId="6" fillId="2" borderId="23" xfId="0" applyFont="1" applyFill="1" applyBorder="1" applyProtection="1">
      <protection hidden="1"/>
    </xf>
    <xf numFmtId="9" fontId="5" fillId="2" borderId="23" xfId="0" applyNumberFormat="1" applyFont="1" applyFill="1" applyBorder="1" applyAlignment="1" applyProtection="1">
      <alignment horizontal="center"/>
      <protection hidden="1"/>
    </xf>
    <xf numFmtId="0" fontId="6" fillId="3" borderId="18" xfId="0" applyFont="1" applyFill="1" applyBorder="1" applyAlignment="1" applyProtection="1">
      <alignment horizontal="center" vertical="center"/>
      <protection hidden="1"/>
    </xf>
    <xf numFmtId="0" fontId="6" fillId="3" borderId="18" xfId="0" applyFont="1" applyFill="1" applyBorder="1" applyAlignment="1" applyProtection="1">
      <alignment vertical="center"/>
      <protection hidden="1"/>
    </xf>
    <xf numFmtId="0" fontId="8" fillId="2" borderId="0" xfId="10" applyFont="1" applyFill="1" applyAlignment="1" applyProtection="1">
      <alignment vertical="center"/>
      <protection hidden="1"/>
    </xf>
    <xf numFmtId="9" fontId="8" fillId="7" borderId="0" xfId="6" applyNumberFormat="1" applyFont="1" applyFill="1" applyAlignment="1" applyProtection="1">
      <alignment horizontal="center" vertical="center"/>
      <protection locked="0"/>
    </xf>
    <xf numFmtId="9" fontId="8" fillId="7" borderId="11" xfId="6" applyNumberFormat="1" applyFont="1" applyFill="1" applyBorder="1" applyAlignment="1" applyProtection="1">
      <alignment horizontal="center" vertical="center"/>
      <protection locked="0"/>
    </xf>
    <xf numFmtId="0" fontId="8" fillId="2" borderId="16" xfId="10" applyFont="1" applyFill="1" applyBorder="1" applyProtection="1">
      <protection hidden="1"/>
    </xf>
    <xf numFmtId="9" fontId="8" fillId="2" borderId="16" xfId="6" applyNumberFormat="1" applyFont="1" applyFill="1" applyBorder="1" applyAlignment="1" applyProtection="1">
      <alignment horizontal="center"/>
      <protection locked="0"/>
    </xf>
    <xf numFmtId="0" fontId="23" fillId="0" borderId="0" xfId="0" applyFont="1"/>
    <xf numFmtId="172" fontId="5" fillId="0" borderId="22" xfId="0" applyNumberFormat="1" applyFont="1" applyBorder="1" applyAlignment="1" applyProtection="1">
      <alignment horizontal="right"/>
      <protection hidden="1"/>
    </xf>
    <xf numFmtId="172" fontId="5" fillId="0" borderId="11" xfId="0" applyNumberFormat="1" applyFont="1" applyBorder="1" applyAlignment="1" applyProtection="1">
      <alignment horizontal="right"/>
      <protection hidden="1"/>
    </xf>
    <xf numFmtId="172" fontId="5" fillId="0" borderId="25" xfId="0" applyNumberFormat="1" applyFont="1" applyBorder="1" applyAlignment="1" applyProtection="1">
      <alignment horizontal="right"/>
      <protection hidden="1"/>
    </xf>
    <xf numFmtId="172" fontId="5" fillId="0" borderId="22" xfId="0" applyNumberFormat="1" applyFont="1" applyBorder="1" applyProtection="1">
      <protection hidden="1"/>
    </xf>
    <xf numFmtId="172" fontId="5" fillId="0" borderId="11" xfId="0" applyNumberFormat="1" applyFont="1" applyBorder="1" applyProtection="1">
      <protection hidden="1"/>
    </xf>
    <xf numFmtId="172" fontId="5" fillId="0" borderId="25" xfId="0" applyNumberFormat="1" applyFont="1" applyBorder="1" applyProtection="1">
      <protection hidden="1"/>
    </xf>
    <xf numFmtId="0" fontId="5" fillId="0" borderId="0" xfId="0" applyFont="1" applyAlignment="1" applyProtection="1">
      <alignment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0" fontId="5" fillId="0" borderId="0" xfId="0" applyFont="1" applyAlignment="1">
      <alignment vertical="center"/>
    </xf>
    <xf numFmtId="9" fontId="5" fillId="0" borderId="0" xfId="0" applyNumberFormat="1" applyFont="1"/>
    <xf numFmtId="1" fontId="5" fillId="0" borderId="0" xfId="0" applyNumberFormat="1" applyFont="1"/>
    <xf numFmtId="171" fontId="5" fillId="0" borderId="0" xfId="0" applyNumberFormat="1" applyFont="1" applyProtection="1">
      <protection hidden="1"/>
    </xf>
    <xf numFmtId="0" fontId="5" fillId="3" borderId="0" xfId="0" applyFont="1" applyFill="1" applyProtection="1">
      <protection hidden="1"/>
    </xf>
    <xf numFmtId="0" fontId="5" fillId="3" borderId="0" xfId="0" applyFont="1" applyFill="1"/>
    <xf numFmtId="0" fontId="8" fillId="7" borderId="56" xfId="6" applyFont="1" applyFill="1" applyBorder="1" applyAlignment="1" applyProtection="1">
      <alignment horizontal="center" vertical="center"/>
      <protection locked="0"/>
    </xf>
    <xf numFmtId="0" fontId="8" fillId="7" borderId="47" xfId="6" applyFont="1" applyFill="1" applyBorder="1" applyAlignment="1" applyProtection="1">
      <alignment horizontal="center" vertical="center"/>
      <protection locked="0"/>
    </xf>
    <xf numFmtId="0" fontId="8" fillId="7" borderId="57" xfId="6" applyFont="1" applyFill="1" applyBorder="1" applyAlignment="1" applyProtection="1">
      <alignment horizontal="center" vertical="center"/>
      <protection locked="0"/>
    </xf>
    <xf numFmtId="4" fontId="10" fillId="0" borderId="4" xfId="6" applyNumberFormat="1" applyFont="1" applyBorder="1" applyProtection="1">
      <protection locked="0"/>
    </xf>
    <xf numFmtId="4" fontId="10" fillId="0" borderId="1" xfId="6" applyNumberFormat="1" applyFont="1" applyBorder="1" applyProtection="1">
      <protection locked="0"/>
    </xf>
    <xf numFmtId="3" fontId="8" fillId="2" borderId="34" xfId="6" applyNumberFormat="1" applyFont="1" applyFill="1" applyBorder="1" applyAlignment="1" applyProtection="1">
      <alignment horizontal="center"/>
      <protection hidden="1"/>
    </xf>
    <xf numFmtId="3" fontId="8" fillId="2" borderId="58" xfId="6" applyNumberFormat="1" applyFont="1" applyFill="1" applyBorder="1" applyAlignment="1" applyProtection="1">
      <alignment horizontal="center"/>
      <protection hidden="1"/>
    </xf>
    <xf numFmtId="0" fontId="6" fillId="0" borderId="31" xfId="0" applyFont="1" applyBorder="1"/>
    <xf numFmtId="0" fontId="4" fillId="0" borderId="18" xfId="0" applyFont="1" applyBorder="1"/>
    <xf numFmtId="0" fontId="4" fillId="0" borderId="19" xfId="0" applyFont="1" applyBorder="1"/>
    <xf numFmtId="0" fontId="0" fillId="0" borderId="0" xfId="0" applyAlignment="1">
      <alignment horizontal="center" vertical="center" wrapText="1"/>
    </xf>
    <xf numFmtId="3" fontId="0" fillId="0" borderId="0" xfId="0" applyNumberFormat="1"/>
    <xf numFmtId="1" fontId="0" fillId="0" borderId="0" xfId="0" applyNumberFormat="1"/>
    <xf numFmtId="0" fontId="0" fillId="0" borderId="0" xfId="0" applyAlignment="1">
      <alignment wrapText="1"/>
    </xf>
    <xf numFmtId="169" fontId="0" fillId="0" borderId="0" xfId="0" applyNumberFormat="1"/>
    <xf numFmtId="173" fontId="0" fillId="0" borderId="0" xfId="0" applyNumberFormat="1"/>
    <xf numFmtId="2" fontId="0" fillId="0" borderId="0" xfId="0" applyNumberFormat="1"/>
  </cellXfs>
  <cellStyles count="13">
    <cellStyle name="Comma [0]_Assump." xfId="1" xr:uid="{00000000-0005-0000-0000-000000000000}"/>
    <cellStyle name="Comma_Assump." xfId="2" xr:uid="{00000000-0005-0000-0000-000001000000}"/>
    <cellStyle name="Comma_BS" xfId="3" xr:uid="{00000000-0005-0000-0000-000002000000}"/>
    <cellStyle name="Currency [0]_Assump." xfId="4" xr:uid="{00000000-0005-0000-0000-000003000000}"/>
    <cellStyle name="Currency_Assump." xfId="5" xr:uid="{00000000-0005-0000-0000-000004000000}"/>
    <cellStyle name="Normal_Assump." xfId="6" xr:uid="{00000000-0005-0000-0000-000005000000}"/>
    <cellStyle name="Normal_BS" xfId="7" xr:uid="{00000000-0005-0000-0000-000006000000}"/>
    <cellStyle name="Normal_CF" xfId="8" xr:uid="{00000000-0005-0000-0000-000007000000}"/>
    <cellStyle name="Normal_PL" xfId="9" xr:uid="{00000000-0005-0000-0000-000008000000}"/>
    <cellStyle name="Обычный" xfId="0" builtinId="0"/>
    <cellStyle name="Обычный_ИнвестАнализ" xfId="10" xr:uid="{00000000-0005-0000-0000-00000A000000}"/>
    <cellStyle name="Процентный" xfId="11" builtinId="5"/>
    <cellStyle name="Финансовый_ИнвестАнализ" xfId="12" xr:uid="{00000000-0005-0000-0000-00000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846517517652294E-2"/>
          <c:y val="4.4818049769262541E-2"/>
          <c:w val="0.89005387293758342"/>
          <c:h val="0.78151474285151556"/>
        </c:manualLayout>
      </c:layout>
      <c:lineChart>
        <c:grouping val="standard"/>
        <c:varyColors val="0"/>
        <c:ser>
          <c:idx val="0"/>
          <c:order val="0"/>
          <c:tx>
            <c:v>Оборот</c:v>
          </c:tx>
          <c:spPr>
            <a:ln w="381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strRef>
              <c:f>Прибыль!$C$1:$Z$1</c:f>
              <c:strCache>
                <c:ptCount val="6"/>
                <c:pt idx="0">
                  <c:v>1/2027</c:v>
                </c:pt>
                <c:pt idx="1">
                  <c:v>2/2027</c:v>
                </c:pt>
                <c:pt idx="2">
                  <c:v>3/2027</c:v>
                </c:pt>
                <c:pt idx="3">
                  <c:v>4/2027</c:v>
                </c:pt>
                <c:pt idx="4">
                  <c:v>5/2027</c:v>
                </c:pt>
                <c:pt idx="5">
                  <c:v>6/2027</c:v>
                </c:pt>
              </c:strCache>
            </c:strRef>
          </c:cat>
          <c:val>
            <c:numRef>
              <c:f>Прибыль!$C$2:$Z$2</c:f>
              <c:numCache>
                <c:formatCode>#\ ###;\-#\ ###;;@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300000</c:v>
                </c:pt>
                <c:pt idx="4">
                  <c:v>700000</c:v>
                </c:pt>
                <c:pt idx="5">
                  <c:v>1200000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0D-4372-B2E5-598120C68CBB}"/>
            </c:ext>
          </c:extLst>
        </c:ser>
        <c:ser>
          <c:idx val="1"/>
          <c:order val="1"/>
          <c:tx>
            <c:v>Валовая прибыль</c:v>
          </c:tx>
          <c:spPr>
            <a:ln w="25400">
              <a:solidFill>
                <a:srgbClr val="969696"/>
              </a:solidFill>
              <a:prstDash val="solid"/>
            </a:ln>
          </c:spPr>
          <c:marker>
            <c:symbol val="none"/>
          </c:marker>
          <c:cat>
            <c:strRef>
              <c:f>Прибыль!$C$1:$Z$1</c:f>
              <c:strCache>
                <c:ptCount val="6"/>
                <c:pt idx="0">
                  <c:v>1/2027</c:v>
                </c:pt>
                <c:pt idx="1">
                  <c:v>2/2027</c:v>
                </c:pt>
                <c:pt idx="2">
                  <c:v>3/2027</c:v>
                </c:pt>
                <c:pt idx="3">
                  <c:v>4/2027</c:v>
                </c:pt>
                <c:pt idx="4">
                  <c:v>5/2027</c:v>
                </c:pt>
                <c:pt idx="5">
                  <c:v>6/2027</c:v>
                </c:pt>
              </c:strCache>
            </c:strRef>
          </c:cat>
          <c:val>
            <c:numRef>
              <c:f>Прибыль!$C$7:$Z$7</c:f>
              <c:numCache>
                <c:formatCode>#\ ###;\-#\ ###;;@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300000</c:v>
                </c:pt>
                <c:pt idx="4">
                  <c:v>700000</c:v>
                </c:pt>
                <c:pt idx="5">
                  <c:v>1200000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0D-4372-B2E5-598120C68CBB}"/>
            </c:ext>
          </c:extLst>
        </c:ser>
        <c:ser>
          <c:idx val="2"/>
          <c:order val="2"/>
          <c:tx>
            <c:v>Чистая прибыль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strRef>
              <c:f>Прибыль!$C$1:$Z$1</c:f>
              <c:strCache>
                <c:ptCount val="6"/>
                <c:pt idx="0">
                  <c:v>1/2027</c:v>
                </c:pt>
                <c:pt idx="1">
                  <c:v>2/2027</c:v>
                </c:pt>
                <c:pt idx="2">
                  <c:v>3/2027</c:v>
                </c:pt>
                <c:pt idx="3">
                  <c:v>4/2027</c:v>
                </c:pt>
                <c:pt idx="4">
                  <c:v>5/2027</c:v>
                </c:pt>
                <c:pt idx="5">
                  <c:v>6/2027</c:v>
                </c:pt>
              </c:strCache>
            </c:strRef>
          </c:cat>
          <c:val>
            <c:numRef>
              <c:f>Прибыль!$C$28:$Z$28</c:f>
              <c:numCache>
                <c:formatCode>#\ ###;\-#\ ###;;@</c:formatCode>
                <c:ptCount val="6"/>
                <c:pt idx="0">
                  <c:v>-150214.28571428571</c:v>
                </c:pt>
                <c:pt idx="1">
                  <c:v>-150214.28571428571</c:v>
                </c:pt>
                <c:pt idx="2">
                  <c:v>-180214.28571428571</c:v>
                </c:pt>
                <c:pt idx="3">
                  <c:v>43785.714285714283</c:v>
                </c:pt>
                <c:pt idx="4">
                  <c:v>385785.71428571426</c:v>
                </c:pt>
                <c:pt idx="5">
                  <c:v>875785.71428571432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00D-4372-B2E5-598120C68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4701312"/>
        <c:axId val="184702848"/>
      </c:lineChart>
      <c:catAx>
        <c:axId val="184701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8470284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84702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\ ###;\-#\ ###;;@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84701312"/>
        <c:crosses val="autoZero"/>
        <c:crossBetween val="midCat"/>
      </c:valAx>
      <c:spPr>
        <a:gradFill rotWithShape="0">
          <a:gsLst>
            <a:gs pos="0">
              <a:srgbClr xmlns:mc="http://schemas.openxmlformats.org/markup-compatibility/2006" xmlns:a14="http://schemas.microsoft.com/office/drawing/2010/main" val="FFFFFF" mc:Ignorable="a14" a14:legacySpreadsheetColorIndex="9"/>
            </a:gs>
            <a:gs pos="100000">
              <a:srgbClr xmlns:mc="http://schemas.openxmlformats.org/markup-compatibility/2006" xmlns:a14="http://schemas.microsoft.com/office/drawing/2010/main" val="C0C0C0" mc:Ignorable="a14" a14:legacySpreadsheetColorIndex="22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2024572604051799E-2"/>
          <c:y val="0.91316776404872435"/>
          <c:w val="0.6108212853493219"/>
          <c:h val="6.722707465389381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739130434782606E-2"/>
          <c:y val="7.6470698056494216E-2"/>
          <c:w val="0.85565217391304349"/>
          <c:h val="0.79117760681526716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strRef>
              <c:f>Прибыль!$C$1:$Z$1</c:f>
              <c:strCache>
                <c:ptCount val="6"/>
                <c:pt idx="0">
                  <c:v>1/2027</c:v>
                </c:pt>
                <c:pt idx="1">
                  <c:v>2/2027</c:v>
                </c:pt>
                <c:pt idx="2">
                  <c:v>3/2027</c:v>
                </c:pt>
                <c:pt idx="3">
                  <c:v>4/2027</c:v>
                </c:pt>
                <c:pt idx="4">
                  <c:v>5/2027</c:v>
                </c:pt>
                <c:pt idx="5">
                  <c:v>6/2027</c:v>
                </c:pt>
              </c:strCache>
            </c:strRef>
          </c:cat>
          <c:val>
            <c:numRef>
              <c:f>Анализ!$B$35:$Z$35</c:f>
              <c:numCache>
                <c:formatCode>#,##0</c:formatCode>
                <c:ptCount val="7"/>
                <c:pt idx="0">
                  <c:v>-350000</c:v>
                </c:pt>
                <c:pt idx="1">
                  <c:v>-340000</c:v>
                </c:pt>
                <c:pt idx="2">
                  <c:v>-340000</c:v>
                </c:pt>
                <c:pt idx="3">
                  <c:v>44000</c:v>
                </c:pt>
                <c:pt idx="4">
                  <c:v>386000</c:v>
                </c:pt>
                <c:pt idx="5">
                  <c:v>876000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3B7-4E69-AFF1-1A5D7A553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4727424"/>
        <c:axId val="184728960"/>
      </c:lineChart>
      <c:catAx>
        <c:axId val="184727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8472896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847289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84727424"/>
        <c:crosses val="autoZero"/>
        <c:crossBetween val="midCat"/>
      </c:valAx>
      <c:spPr>
        <a:gradFill rotWithShape="0">
          <a:gsLst>
            <a:gs pos="0">
              <a:srgbClr xmlns:mc="http://schemas.openxmlformats.org/markup-compatibility/2006" xmlns:a14="http://schemas.microsoft.com/office/drawing/2010/main" val="FFFFFF" mc:Ignorable="a14" a14:legacySpreadsheetColorIndex="9"/>
            </a:gs>
            <a:gs pos="100000">
              <a:srgbClr xmlns:mc="http://schemas.openxmlformats.org/markup-compatibility/2006" xmlns:a14="http://schemas.microsoft.com/office/drawing/2010/main" val="C0C0C0" mc:Ignorable="a14" a14:legacySpreadsheetColorIndex="22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739130434782606E-2"/>
          <c:y val="7.6470698056494216E-2"/>
          <c:w val="0.85565217391304349"/>
          <c:h val="0.79117760681526716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strRef>
              <c:f>Прибыль!$C$1:$Z$1</c:f>
              <c:strCache>
                <c:ptCount val="6"/>
                <c:pt idx="0">
                  <c:v>1/2027</c:v>
                </c:pt>
                <c:pt idx="1">
                  <c:v>2/2027</c:v>
                </c:pt>
                <c:pt idx="2">
                  <c:v>3/2027</c:v>
                </c:pt>
                <c:pt idx="3">
                  <c:v>4/2027</c:v>
                </c:pt>
                <c:pt idx="4">
                  <c:v>5/2027</c:v>
                </c:pt>
                <c:pt idx="5">
                  <c:v>6/2027</c:v>
                </c:pt>
              </c:strCache>
            </c:strRef>
          </c:cat>
          <c:val>
            <c:numRef>
              <c:f>Анализ!$B$37:$Z$37</c:f>
              <c:numCache>
                <c:formatCode>0</c:formatCode>
                <c:ptCount val="7"/>
                <c:pt idx="0">
                  <c:v>-343551.78801119194</c:v>
                </c:pt>
                <c:pt idx="1">
                  <c:v>-671139.23744411906</c:v>
                </c:pt>
                <c:pt idx="2">
                  <c:v>-992691.39168042771</c:v>
                </c:pt>
                <c:pt idx="3">
                  <c:v>-951845.40872936626</c:v>
                </c:pt>
                <c:pt idx="4">
                  <c:v>-600116.43186560227</c:v>
                </c:pt>
                <c:pt idx="5">
                  <c:v>183401.82241773244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BAA-4D88-BB37-899669C39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6157184"/>
        <c:axId val="216163072"/>
      </c:lineChart>
      <c:catAx>
        <c:axId val="216157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21616307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2161630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216157184"/>
        <c:crosses val="autoZero"/>
        <c:crossBetween val="midCat"/>
      </c:valAx>
      <c:spPr>
        <a:gradFill rotWithShape="0">
          <a:gsLst>
            <a:gs pos="0">
              <a:srgbClr xmlns:mc="http://schemas.openxmlformats.org/markup-compatibility/2006" xmlns:a14="http://schemas.microsoft.com/office/drawing/2010/main" val="FFFFFF" mc:Ignorable="a14" a14:legacySpreadsheetColorIndex="9"/>
            </a:gs>
            <a:gs pos="100000">
              <a:srgbClr xmlns:mc="http://schemas.openxmlformats.org/markup-compatibility/2006" xmlns:a14="http://schemas.microsoft.com/office/drawing/2010/main" val="C0C0C0" mc:Ignorable="a14" a14:legacySpreadsheetColorIndex="22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Drop" dropLines="4" dropStyle="combo" dx="22" fmlaLink="Расчеты!$B$8" fmlaRange="Расчеты!$B$4:$B$7" noThreeD="1" sel="1" val="0"/>
</file>

<file path=xl/ctrlProps/ctrlProp2.xml><?xml version="1.0" encoding="utf-8"?>
<formControlPr xmlns="http://schemas.microsoft.com/office/spreadsheetml/2009/9/main" objectType="Drop" dropLines="24" dropStyle="combo" dx="22" fmlaLink="Расчеты!$B$10" fmlaRange="Расчеты!$C$4:$C$27" noThreeD="1" sel="6" val="0"/>
</file>

<file path=xl/ctrlProps/ctrlProp3.xml><?xml version="1.0" encoding="utf-8"?>
<formControlPr xmlns="http://schemas.microsoft.com/office/spreadsheetml/2009/9/main" objectType="Drop" dropLines="20" dropStyle="combo" dx="22" fmlaLink="Расчеты!$B$15" fmlaRange="Расчеты!$D$4:$D$23" noThreeD="1" sel="1" val="0"/>
</file>

<file path=xl/ctrlProps/ctrlProp4.xml><?xml version="1.0" encoding="utf-8"?>
<formControlPr xmlns="http://schemas.microsoft.com/office/spreadsheetml/2009/9/main" objectType="Drop" dropLines="12" dropStyle="combo" dx="22" fmlaLink="Расчеты!$B$11" fmlaRange="Расчеты!$E$4:$E$15" noThreeD="1" sel="1" val="0"/>
</file>

<file path=xl/ctrlProps/ctrlProp5.xml><?xml version="1.0" encoding="utf-8"?>
<formControlPr xmlns="http://schemas.microsoft.com/office/spreadsheetml/2009/9/main" objectType="Drop" dropLines="10" dropStyle="combo" dx="22" fmlaLink="Расчеты!$B$12" fmlaRange="Расчеты!$F$4:$F$14" noThreeD="1" sel="9"/>
</file>

<file path=xl/ctrlProps/ctrlProp6.xml><?xml version="1.0" encoding="utf-8"?>
<formControlPr xmlns="http://schemas.microsoft.com/office/spreadsheetml/2009/9/main" objectType="Drop" dropLines="2" dropStyle="combo" dx="22" fmlaLink="Расчеты!$B$60" fmlaRange="Расчеты!$B$58:$B$59" noThreeD="1" sel="1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Lines="7" dropStyle="combo" dx="22" fmlaLink="Расчеты!$B$64" fmlaRange="Расчеты!$D$57:$D$63" noThreeD="1" sel="7" val="0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3075" name="Drop Dow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3077" name="PERIODS_SELEC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3078" name="Drop Dow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2</xdr:col>
          <xdr:colOff>600075</xdr:colOff>
          <xdr:row>7</xdr:row>
          <xdr:rowOff>0</xdr:rowOff>
        </xdr:to>
        <xdr:sp macro="" textlink="">
          <xdr:nvSpPr>
            <xdr:cNvPr id="3080" name="Drop Dow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9525</xdr:rowOff>
        </xdr:from>
        <xdr:to>
          <xdr:col>2</xdr:col>
          <xdr:colOff>381000</xdr:colOff>
          <xdr:row>35</xdr:row>
          <xdr:rowOff>9525</xdr:rowOff>
        </xdr:to>
        <xdr:sp macro="" textlink="">
          <xdr:nvSpPr>
            <xdr:cNvPr id="3091" name="LANG_SELECTION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0</xdr:rowOff>
    </xdr:from>
    <xdr:to>
      <xdr:col>8</xdr:col>
      <xdr:colOff>590550</xdr:colOff>
      <xdr:row>23</xdr:row>
      <xdr:rowOff>0</xdr:rowOff>
    </xdr:to>
    <xdr:graphicFrame macro="">
      <xdr:nvGraphicFramePr>
        <xdr:cNvPr id="1025" name="Диаграмма 1">
          <a:extLst>
            <a:ext uri="{FF2B5EF4-FFF2-40B4-BE49-F238E27FC236}">
              <a16:creationId xmlns:a16="http://schemas.microsoft.com/office/drawing/2014/main" id="{00000000-0008-0000-0500-000001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26</xdr:row>
      <xdr:rowOff>0</xdr:rowOff>
    </xdr:from>
    <xdr:to>
      <xdr:col>8</xdr:col>
      <xdr:colOff>600075</xdr:colOff>
      <xdr:row>46</xdr:row>
      <xdr:rowOff>0</xdr:rowOff>
    </xdr:to>
    <xdr:graphicFrame macro="">
      <xdr:nvGraphicFramePr>
        <xdr:cNvPr id="1026" name="Диаграмма 2">
          <a:extLst>
            <a:ext uri="{FF2B5EF4-FFF2-40B4-BE49-F238E27FC236}">
              <a16:creationId xmlns:a16="http://schemas.microsoft.com/office/drawing/2014/main" id="{00000000-0008-0000-0500-000002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9525</xdr:colOff>
      <xdr:row>48</xdr:row>
      <xdr:rowOff>0</xdr:rowOff>
    </xdr:from>
    <xdr:to>
      <xdr:col>9</xdr:col>
      <xdr:colOff>0</xdr:colOff>
      <xdr:row>68</xdr:row>
      <xdr:rowOff>0</xdr:rowOff>
    </xdr:to>
    <xdr:graphicFrame macro="">
      <xdr:nvGraphicFramePr>
        <xdr:cNvPr id="1027" name="Диаграмма 3">
          <a:extLst>
            <a:ext uri="{FF2B5EF4-FFF2-40B4-BE49-F238E27FC236}">
              <a16:creationId xmlns:a16="http://schemas.microsoft.com/office/drawing/2014/main" id="{00000000-0008-0000-0500-000003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</xdr:row>
          <xdr:rowOff>0</xdr:rowOff>
        </xdr:from>
        <xdr:to>
          <xdr:col>0</xdr:col>
          <xdr:colOff>2714625</xdr:colOff>
          <xdr:row>2</xdr:row>
          <xdr:rowOff>0</xdr:rowOff>
        </xdr:to>
        <xdr:sp macro="" textlink="">
          <xdr:nvSpPr>
            <xdr:cNvPr id="12289" name="Button 1025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Пересчитать таблицы чувствительности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704850</xdr:colOff>
          <xdr:row>4</xdr:row>
          <xdr:rowOff>0</xdr:rowOff>
        </xdr:to>
        <xdr:sp macro="" textlink="">
          <xdr:nvSpPr>
            <xdr:cNvPr id="12290" name="Drop Down 1026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9525</xdr:rowOff>
        </xdr:from>
        <xdr:to>
          <xdr:col>2</xdr:col>
          <xdr:colOff>571500</xdr:colOff>
          <xdr:row>65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7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Собрать PRO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65</xdr:row>
          <xdr:rowOff>9525</xdr:rowOff>
        </xdr:from>
        <xdr:to>
          <xdr:col>5</xdr:col>
          <xdr:colOff>571500</xdr:colOff>
          <xdr:row>65</xdr:row>
          <xdr:rowOff>219075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7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Собрать STD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DAC21-995F-4C3B-94A4-06CAE0A49018}">
  <dimension ref="A1:I14"/>
  <sheetViews>
    <sheetView workbookViewId="0">
      <selection activeCell="C24" sqref="C24"/>
    </sheetView>
  </sheetViews>
  <sheetFormatPr defaultRowHeight="12.75"/>
  <cols>
    <col min="2" max="3" width="17" customWidth="1"/>
    <col min="4" max="4" width="19.7109375" customWidth="1"/>
    <col min="5" max="5" width="13.5703125" customWidth="1"/>
  </cols>
  <sheetData>
    <row r="1" spans="1:9" s="361" customFormat="1" ht="51">
      <c r="A1" s="361" t="s">
        <v>374</v>
      </c>
      <c r="B1" s="361" t="s">
        <v>375</v>
      </c>
      <c r="C1" s="361" t="s">
        <v>377</v>
      </c>
      <c r="D1" s="361" t="s">
        <v>376</v>
      </c>
      <c r="E1" s="361" t="s">
        <v>379</v>
      </c>
    </row>
    <row r="2" spans="1:9">
      <c r="A2">
        <v>1</v>
      </c>
      <c r="B2" s="362">
        <f>Анализ!B35</f>
        <v>-350000</v>
      </c>
      <c r="C2" s="362">
        <f>B2</f>
        <v>-350000</v>
      </c>
      <c r="D2" s="363">
        <f>Анализ!B36</f>
        <v>-343551.78801119194</v>
      </c>
      <c r="E2" s="363">
        <f>D2</f>
        <v>-343551.78801119194</v>
      </c>
    </row>
    <row r="3" spans="1:9">
      <c r="A3">
        <v>2</v>
      </c>
      <c r="B3" s="362">
        <f>Анализ!C35</f>
        <v>-340000</v>
      </c>
      <c r="C3" s="362">
        <f>C2+B3</f>
        <v>-690000</v>
      </c>
      <c r="D3" s="363">
        <f>Анализ!C36</f>
        <v>-327587.44943292707</v>
      </c>
      <c r="E3" s="363">
        <f>D2+D3</f>
        <v>-671139.23744411906</v>
      </c>
    </row>
    <row r="4" spans="1:9">
      <c r="A4">
        <v>3</v>
      </c>
      <c r="B4" s="362">
        <f>Анализ!D35</f>
        <v>-340000</v>
      </c>
      <c r="C4" s="362">
        <f>C3+B4</f>
        <v>-1030000</v>
      </c>
      <c r="D4" s="363">
        <f>Анализ!D36</f>
        <v>-321552.15423630865</v>
      </c>
      <c r="E4" s="363">
        <f>E3+D4</f>
        <v>-992691.39168042771</v>
      </c>
    </row>
    <row r="5" spans="1:9">
      <c r="A5">
        <v>4</v>
      </c>
      <c r="B5" s="362">
        <f>Анализ!E35</f>
        <v>44000</v>
      </c>
      <c r="C5" s="362">
        <f>C4+B5</f>
        <v>-986000</v>
      </c>
      <c r="D5" s="363">
        <f>Анализ!E36</f>
        <v>40845.982951061458</v>
      </c>
      <c r="E5" s="363">
        <f>E4+D5</f>
        <v>-951845.40872936626</v>
      </c>
    </row>
    <row r="6" spans="1:9">
      <c r="A6">
        <v>5</v>
      </c>
      <c r="B6" s="362">
        <f>Анализ!F35</f>
        <v>386000</v>
      </c>
      <c r="C6" s="362">
        <f>C5+B6</f>
        <v>-600000</v>
      </c>
      <c r="D6" s="363">
        <f>Анализ!F36</f>
        <v>351728.97686376399</v>
      </c>
      <c r="E6" s="363">
        <f>E5+D6</f>
        <v>-600116.43186560227</v>
      </c>
    </row>
    <row r="7" spans="1:9">
      <c r="A7">
        <v>6</v>
      </c>
      <c r="B7" s="362">
        <f>Анализ!G35</f>
        <v>876000</v>
      </c>
      <c r="C7" s="362">
        <f>C6+B7</f>
        <v>276000</v>
      </c>
      <c r="D7" s="363">
        <f>Анализ!G36</f>
        <v>783518.25428333471</v>
      </c>
      <c r="E7" s="363">
        <f>E6+D7</f>
        <v>183401.82241773244</v>
      </c>
      <c r="H7" t="s">
        <v>378</v>
      </c>
      <c r="I7" s="363">
        <f>SUM(D2:D7)</f>
        <v>183401.82241773244</v>
      </c>
    </row>
    <row r="8" spans="1:9">
      <c r="D8" s="363"/>
    </row>
    <row r="9" spans="1:9" ht="25.5">
      <c r="B9" s="364" t="s">
        <v>381</v>
      </c>
      <c r="C9" s="366">
        <f>5+((-C6)/B7)</f>
        <v>5.6849315068493151</v>
      </c>
      <c r="D9" s="364" t="s">
        <v>380</v>
      </c>
      <c r="E9" s="365">
        <f>5+((-E6)/D7)</f>
        <v>5.7659252717915477</v>
      </c>
    </row>
    <row r="10" spans="1:9">
      <c r="B10" s="362"/>
      <c r="C10" s="362"/>
    </row>
    <row r="14" spans="1:9">
      <c r="B14" t="s">
        <v>382</v>
      </c>
      <c r="C14" s="367">
        <f>(D5+D6+D7)/(-(D2+D3+D4))</f>
        <v>1.1847521031760635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outlinePr summaryBelow="0"/>
  </sheetPr>
  <dimension ref="A2:Z261"/>
  <sheetViews>
    <sheetView tabSelected="1" zoomScaleNormal="100" workbookViewId="0">
      <selection activeCell="A140" sqref="A140"/>
    </sheetView>
  </sheetViews>
  <sheetFormatPr defaultColWidth="9.140625" defaultRowHeight="11.25" outlineLevelRow="1"/>
  <cols>
    <col min="1" max="1" width="36.85546875" style="105" customWidth="1"/>
    <col min="2" max="2" width="10.7109375" style="106" customWidth="1"/>
    <col min="3" max="3" width="9.140625" style="107"/>
    <col min="4" max="8" width="8.7109375" style="107" customWidth="1"/>
    <col min="9" max="14" width="8.7109375" style="107" hidden="1" customWidth="1"/>
    <col min="15" max="26" width="9.140625" style="107" hidden="1" customWidth="1"/>
    <col min="27" max="16384" width="9.140625" style="107"/>
  </cols>
  <sheetData>
    <row r="2" spans="1:14" s="102" customFormat="1" ht="13.5" customHeight="1">
      <c r="A2" s="100" t="s">
        <v>0</v>
      </c>
      <c r="B2" s="101"/>
      <c r="N2" s="103"/>
    </row>
    <row r="3" spans="1:14" s="104" customFormat="1" ht="12.75" customHeight="1">
      <c r="A3" s="257"/>
      <c r="B3" s="258"/>
    </row>
    <row r="4" spans="1:14" s="104" customFormat="1" ht="12.75" customHeight="1">
      <c r="A4" s="257" t="s">
        <v>260</v>
      </c>
      <c r="B4" s="258"/>
    </row>
    <row r="5" spans="1:14" s="277" customFormat="1" ht="15" customHeight="1">
      <c r="A5" s="284" t="s">
        <v>370</v>
      </c>
      <c r="B5" s="285"/>
    </row>
    <row r="6" spans="1:14" ht="12.75" customHeight="1" thickBot="1"/>
    <row r="7" spans="1:14" ht="15.95" customHeight="1">
      <c r="A7" s="108" t="s">
        <v>171</v>
      </c>
      <c r="B7" s="109"/>
      <c r="C7" s="110"/>
    </row>
    <row r="8" spans="1:14" ht="15.95" customHeight="1">
      <c r="A8" s="111" t="s">
        <v>142</v>
      </c>
      <c r="B8" s="112"/>
      <c r="C8" s="113"/>
    </row>
    <row r="9" spans="1:14" ht="15.95" customHeight="1">
      <c r="A9" s="111" t="s">
        <v>148</v>
      </c>
      <c r="B9" s="112"/>
      <c r="C9" s="113"/>
    </row>
    <row r="10" spans="1:14" ht="12.75" customHeight="1">
      <c r="A10" s="235" t="s">
        <v>215</v>
      </c>
      <c r="B10" s="112"/>
      <c r="C10" s="114"/>
      <c r="D10" s="115"/>
      <c r="E10" s="115"/>
      <c r="F10" s="115"/>
      <c r="G10" s="115"/>
      <c r="H10" s="115"/>
      <c r="I10" s="115"/>
      <c r="J10" s="115"/>
      <c r="K10" s="115"/>
      <c r="L10" s="115"/>
      <c r="M10" s="115"/>
      <c r="N10" s="115"/>
    </row>
    <row r="11" spans="1:14" s="104" customFormat="1" ht="15.95" customHeight="1">
      <c r="A11" s="116" t="s">
        <v>141</v>
      </c>
      <c r="B11" s="117"/>
      <c r="C11" s="118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</row>
    <row r="12" spans="1:14" s="104" customFormat="1" ht="12.75" customHeight="1" thickBot="1">
      <c r="A12" s="120" t="s">
        <v>2</v>
      </c>
      <c r="B12" s="117" t="s">
        <v>211</v>
      </c>
      <c r="C12" s="118"/>
      <c r="D12" s="119"/>
      <c r="E12" s="119"/>
      <c r="F12" s="119"/>
      <c r="G12" s="119"/>
      <c r="H12" s="119"/>
      <c r="I12" s="119"/>
      <c r="J12" s="119"/>
      <c r="K12" s="119"/>
      <c r="L12" s="119"/>
      <c r="M12" s="119"/>
      <c r="N12" s="119"/>
    </row>
    <row r="13" spans="1:14" s="104" customFormat="1" ht="12.75" customHeight="1">
      <c r="A13" s="200" t="s">
        <v>373</v>
      </c>
      <c r="B13" s="351" t="s">
        <v>210</v>
      </c>
      <c r="C13" s="118"/>
      <c r="D13" s="119"/>
      <c r="E13" s="119"/>
      <c r="F13" s="119"/>
      <c r="G13" s="119"/>
      <c r="H13" s="119"/>
      <c r="I13" s="119"/>
      <c r="J13" s="119"/>
      <c r="K13" s="119"/>
      <c r="L13" s="119"/>
      <c r="M13" s="119"/>
      <c r="N13" s="119"/>
    </row>
    <row r="14" spans="1:14" s="104" customFormat="1" ht="12.75" hidden="1" customHeight="1">
      <c r="A14" s="201" t="s">
        <v>371</v>
      </c>
      <c r="B14" s="352" t="s">
        <v>210</v>
      </c>
      <c r="C14" s="118"/>
      <c r="D14" s="119"/>
      <c r="E14" s="119"/>
      <c r="F14" s="119"/>
      <c r="G14" s="119"/>
      <c r="H14" s="119"/>
      <c r="I14" s="119"/>
      <c r="J14" s="119"/>
      <c r="K14" s="119"/>
      <c r="L14" s="119"/>
      <c r="M14" s="119"/>
      <c r="N14" s="119"/>
    </row>
    <row r="15" spans="1:14" s="104" customFormat="1" ht="12.75" hidden="1" customHeight="1">
      <c r="A15" s="201" t="s">
        <v>372</v>
      </c>
      <c r="B15" s="352" t="s">
        <v>210</v>
      </c>
      <c r="C15" s="118"/>
      <c r="D15" s="119"/>
      <c r="E15" s="119"/>
      <c r="F15" s="119"/>
      <c r="G15" s="119"/>
      <c r="H15" s="119"/>
      <c r="I15" s="119"/>
      <c r="J15" s="119"/>
      <c r="K15" s="119"/>
      <c r="L15" s="119"/>
      <c r="M15" s="119"/>
      <c r="N15" s="119"/>
    </row>
    <row r="16" spans="1:14" s="104" customFormat="1" ht="12.75" hidden="1" customHeight="1">
      <c r="A16" s="201" t="s">
        <v>138</v>
      </c>
      <c r="B16" s="352" t="s">
        <v>210</v>
      </c>
      <c r="C16" s="118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</row>
    <row r="17" spans="1:14" s="104" customFormat="1" ht="12.75" hidden="1" customHeight="1">
      <c r="A17" s="201" t="s">
        <v>139</v>
      </c>
      <c r="B17" s="352" t="s">
        <v>210</v>
      </c>
      <c r="C17" s="118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</row>
    <row r="18" spans="1:14" s="104" customFormat="1" ht="12.75" hidden="1" customHeight="1">
      <c r="A18" s="201" t="s">
        <v>172</v>
      </c>
      <c r="B18" s="352" t="s">
        <v>210</v>
      </c>
      <c r="C18" s="118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</row>
    <row r="19" spans="1:14" s="104" customFormat="1" ht="12.75" hidden="1" customHeight="1">
      <c r="A19" s="201" t="s">
        <v>173</v>
      </c>
      <c r="B19" s="352" t="s">
        <v>210</v>
      </c>
      <c r="C19" s="118"/>
      <c r="D19" s="119"/>
      <c r="E19" s="119"/>
      <c r="F19" s="119"/>
      <c r="G19" s="119"/>
      <c r="H19" s="119"/>
      <c r="I19" s="119"/>
      <c r="J19" s="119"/>
      <c r="K19" s="119"/>
      <c r="L19" s="119"/>
      <c r="M19" s="119"/>
      <c r="N19" s="119"/>
    </row>
    <row r="20" spans="1:14" s="104" customFormat="1" ht="12.75" hidden="1" customHeight="1">
      <c r="A20" s="201" t="s">
        <v>174</v>
      </c>
      <c r="B20" s="352" t="s">
        <v>210</v>
      </c>
      <c r="C20" s="118"/>
      <c r="D20" s="119"/>
      <c r="E20" s="119"/>
      <c r="F20" s="119"/>
      <c r="G20" s="119"/>
      <c r="H20" s="119"/>
      <c r="I20" s="119"/>
      <c r="J20" s="119"/>
      <c r="K20" s="119"/>
      <c r="L20" s="119"/>
      <c r="M20" s="119"/>
      <c r="N20" s="119"/>
    </row>
    <row r="21" spans="1:14" s="104" customFormat="1" ht="12.75" hidden="1" customHeight="1">
      <c r="A21" s="201" t="s">
        <v>175</v>
      </c>
      <c r="B21" s="352" t="s">
        <v>210</v>
      </c>
      <c r="C21" s="118"/>
      <c r="D21" s="119"/>
      <c r="E21" s="119"/>
      <c r="F21" s="119"/>
      <c r="G21" s="119"/>
      <c r="H21" s="119"/>
      <c r="I21" s="119"/>
      <c r="J21" s="119"/>
      <c r="K21" s="119"/>
      <c r="L21" s="119"/>
      <c r="M21" s="119"/>
      <c r="N21" s="119"/>
    </row>
    <row r="22" spans="1:14" s="104" customFormat="1" ht="12.75" hidden="1" customHeight="1">
      <c r="A22" s="201" t="s">
        <v>176</v>
      </c>
      <c r="B22" s="352" t="s">
        <v>210</v>
      </c>
      <c r="C22" s="118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</row>
    <row r="23" spans="1:14" s="104" customFormat="1" ht="12.75" hidden="1" customHeight="1">
      <c r="A23" s="201" t="s">
        <v>177</v>
      </c>
      <c r="B23" s="352" t="s">
        <v>210</v>
      </c>
      <c r="C23" s="118"/>
      <c r="D23" s="119"/>
      <c r="E23" s="119"/>
      <c r="F23" s="119"/>
      <c r="G23" s="119"/>
      <c r="H23" s="119"/>
      <c r="I23" s="119"/>
      <c r="J23" s="119"/>
      <c r="K23" s="119"/>
      <c r="L23" s="119"/>
      <c r="M23" s="119"/>
      <c r="N23" s="119"/>
    </row>
    <row r="24" spans="1:14" s="104" customFormat="1" ht="12.75" hidden="1" customHeight="1">
      <c r="A24" s="201" t="s">
        <v>178</v>
      </c>
      <c r="B24" s="352" t="s">
        <v>210</v>
      </c>
      <c r="C24" s="118"/>
      <c r="D24" s="119"/>
      <c r="E24" s="119"/>
      <c r="F24" s="119"/>
      <c r="G24" s="119"/>
      <c r="H24" s="119"/>
      <c r="I24" s="119"/>
      <c r="J24" s="119"/>
      <c r="K24" s="119"/>
      <c r="L24" s="119"/>
      <c r="M24" s="119"/>
      <c r="N24" s="119"/>
    </row>
    <row r="25" spans="1:14" s="104" customFormat="1" ht="12.75" hidden="1" customHeight="1">
      <c r="A25" s="201" t="s">
        <v>179</v>
      </c>
      <c r="B25" s="352" t="s">
        <v>210</v>
      </c>
      <c r="C25" s="118"/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9"/>
    </row>
    <row r="26" spans="1:14" s="104" customFormat="1" ht="12.75" hidden="1" customHeight="1">
      <c r="A26" s="201" t="s">
        <v>180</v>
      </c>
      <c r="B26" s="352" t="s">
        <v>210</v>
      </c>
      <c r="C26" s="118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</row>
    <row r="27" spans="1:14" s="104" customFormat="1" ht="12.75" hidden="1" customHeight="1">
      <c r="A27" s="201" t="s">
        <v>181</v>
      </c>
      <c r="B27" s="352" t="s">
        <v>210</v>
      </c>
      <c r="C27" s="118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</row>
    <row r="28" spans="1:14" s="104" customFormat="1" ht="12.75" hidden="1" customHeight="1">
      <c r="A28" s="201" t="s">
        <v>182</v>
      </c>
      <c r="B28" s="352" t="s">
        <v>210</v>
      </c>
      <c r="C28" s="118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</row>
    <row r="29" spans="1:14" s="104" customFormat="1" ht="12.75" hidden="1" customHeight="1">
      <c r="A29" s="201" t="s">
        <v>183</v>
      </c>
      <c r="B29" s="352" t="s">
        <v>210</v>
      </c>
      <c r="C29" s="118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</row>
    <row r="30" spans="1:14" s="104" customFormat="1" ht="12.75" hidden="1" customHeight="1">
      <c r="A30" s="201" t="s">
        <v>184</v>
      </c>
      <c r="B30" s="352" t="s">
        <v>210</v>
      </c>
      <c r="C30" s="118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</row>
    <row r="31" spans="1:14" s="104" customFormat="1" ht="12.75" hidden="1" customHeight="1">
      <c r="A31" s="201" t="s">
        <v>185</v>
      </c>
      <c r="B31" s="352" t="s">
        <v>210</v>
      </c>
      <c r="C31" s="118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</row>
    <row r="32" spans="1:14" s="104" customFormat="1" ht="12.75" hidden="1" customHeight="1">
      <c r="A32" s="201" t="s">
        <v>186</v>
      </c>
      <c r="B32" s="353" t="s">
        <v>210</v>
      </c>
      <c r="C32" s="121"/>
    </row>
    <row r="33" spans="1:26" ht="12.75" customHeight="1">
      <c r="A33" s="236" t="s">
        <v>215</v>
      </c>
      <c r="B33" s="112"/>
      <c r="C33" s="113"/>
    </row>
    <row r="34" spans="1:26" ht="15.95" customHeight="1">
      <c r="A34" s="331" t="s">
        <v>4</v>
      </c>
      <c r="B34" s="333">
        <v>0.25</v>
      </c>
      <c r="C34" s="113"/>
    </row>
    <row r="35" spans="1:26" ht="15.95" customHeight="1">
      <c r="A35" s="331" t="s">
        <v>349</v>
      </c>
      <c r="B35" s="332"/>
      <c r="C35" s="113"/>
    </row>
    <row r="36" spans="1:26" ht="12.75" customHeight="1" thickBot="1">
      <c r="A36" s="334"/>
      <c r="B36" s="335"/>
      <c r="C36" s="122"/>
    </row>
    <row r="37" spans="1:26" ht="12.75" customHeight="1"/>
    <row r="38" spans="1:26" s="102" customFormat="1" ht="12.75" customHeight="1">
      <c r="A38" s="100" t="s">
        <v>208</v>
      </c>
      <c r="B38" s="123"/>
      <c r="N38" s="103"/>
    </row>
    <row r="39" spans="1:26" ht="12.75" customHeight="1" thickBot="1">
      <c r="B39" s="124"/>
    </row>
    <row r="40" spans="1:26" ht="12.75" customHeight="1" thickBot="1">
      <c r="A40" s="125" t="s">
        <v>5</v>
      </c>
      <c r="B40" s="357" t="s">
        <v>6</v>
      </c>
      <c r="C40" s="356" t="str">
        <f>Расчеты!H4</f>
        <v>1/2027</v>
      </c>
      <c r="D40" s="126" t="str">
        <f>Расчеты!H5</f>
        <v>2/2027</v>
      </c>
      <c r="E40" s="126" t="str">
        <f>Расчеты!H6</f>
        <v>3/2027</v>
      </c>
      <c r="F40" s="126" t="str">
        <f>Расчеты!H7</f>
        <v>4/2027</v>
      </c>
      <c r="G40" s="126" t="str">
        <f>Расчеты!H8</f>
        <v>5/2027</v>
      </c>
      <c r="H40" s="126" t="str">
        <f>Расчеты!H9</f>
        <v>6/2027</v>
      </c>
      <c r="I40" s="126" t="str">
        <f>Расчеты!H10</f>
        <v>7/2027</v>
      </c>
      <c r="J40" s="126" t="str">
        <f>Расчеты!H11</f>
        <v>8/2027</v>
      </c>
      <c r="K40" s="126" t="str">
        <f>Расчеты!H12</f>
        <v>9/2027</v>
      </c>
      <c r="L40" s="126" t="str">
        <f>Расчеты!H13</f>
        <v>10/2027</v>
      </c>
      <c r="M40" s="126" t="str">
        <f>Расчеты!H14</f>
        <v>11/2027</v>
      </c>
      <c r="N40" s="126" t="str">
        <f>Расчеты!$H$15</f>
        <v>12/2027</v>
      </c>
      <c r="O40" s="126" t="str">
        <f>Расчеты!$H$16</f>
        <v>1/2028</v>
      </c>
      <c r="P40" s="126" t="str">
        <f>Расчеты!$H$17</f>
        <v>2/2028</v>
      </c>
      <c r="Q40" s="126" t="str">
        <f>Расчеты!$H$18</f>
        <v>3/2028</v>
      </c>
      <c r="R40" s="126" t="str">
        <f>Расчеты!$H$19</f>
        <v>4/2028</v>
      </c>
      <c r="S40" s="126" t="str">
        <f>Расчеты!$H$20</f>
        <v>5/2028</v>
      </c>
      <c r="T40" s="126" t="str">
        <f>Расчеты!$H$21</f>
        <v>6/2028</v>
      </c>
      <c r="U40" s="126" t="str">
        <f>Расчеты!$H$22</f>
        <v>7/2028</v>
      </c>
      <c r="V40" s="126" t="str">
        <f>Расчеты!$H$23</f>
        <v>8/2028</v>
      </c>
      <c r="W40" s="126" t="str">
        <f>Расчеты!$H$24</f>
        <v>9/2028</v>
      </c>
      <c r="X40" s="126" t="str">
        <f>Расчеты!$H$25</f>
        <v>10/2028</v>
      </c>
      <c r="Y40" s="126" t="str">
        <f>Расчеты!$H$26</f>
        <v>11/2028</v>
      </c>
      <c r="Z40" s="130" t="str">
        <f>Расчеты!$H$27</f>
        <v>12/2028</v>
      </c>
    </row>
    <row r="41" spans="1:26" ht="12.75" customHeight="1">
      <c r="A41" s="107" t="str">
        <f>A13</f>
        <v>товар1</v>
      </c>
      <c r="B41" s="234" t="str">
        <f>"в " &amp; B13</f>
        <v>в шт.</v>
      </c>
      <c r="C41" s="204">
        <v>0</v>
      </c>
      <c r="D41" s="204">
        <v>0</v>
      </c>
      <c r="E41" s="204">
        <v>0</v>
      </c>
      <c r="F41" s="204">
        <v>300</v>
      </c>
      <c r="G41" s="204">
        <v>700</v>
      </c>
      <c r="H41" s="204">
        <v>1200</v>
      </c>
      <c r="I41" s="204">
        <v>0</v>
      </c>
      <c r="J41" s="204">
        <v>0</v>
      </c>
      <c r="K41" s="204">
        <v>0</v>
      </c>
      <c r="L41" s="204">
        <v>0</v>
      </c>
      <c r="M41" s="204">
        <v>0</v>
      </c>
      <c r="N41" s="354">
        <v>0</v>
      </c>
      <c r="O41" s="202">
        <v>0</v>
      </c>
      <c r="P41" s="202">
        <v>0</v>
      </c>
      <c r="Q41" s="202">
        <v>0</v>
      </c>
      <c r="R41" s="202">
        <v>0</v>
      </c>
      <c r="S41" s="202">
        <v>0</v>
      </c>
      <c r="T41" s="202">
        <v>0</v>
      </c>
      <c r="U41" s="202">
        <v>0</v>
      </c>
      <c r="V41" s="202">
        <v>0</v>
      </c>
      <c r="W41" s="202">
        <v>0</v>
      </c>
      <c r="X41" s="202">
        <v>0</v>
      </c>
      <c r="Y41" s="202">
        <v>0</v>
      </c>
      <c r="Z41" s="202">
        <v>0</v>
      </c>
    </row>
    <row r="42" spans="1:26" ht="12.75" hidden="1" customHeight="1">
      <c r="A42" s="107" t="str">
        <f>A14</f>
        <v>косметика</v>
      </c>
      <c r="B42" s="233" t="str">
        <f>"в " &amp; B14</f>
        <v>в шт.</v>
      </c>
      <c r="C42" s="205">
        <v>0</v>
      </c>
      <c r="D42" s="205">
        <v>0</v>
      </c>
      <c r="E42" s="205">
        <v>0</v>
      </c>
      <c r="F42" s="205">
        <v>0</v>
      </c>
      <c r="G42" s="205">
        <v>0</v>
      </c>
      <c r="H42" s="205">
        <v>0</v>
      </c>
      <c r="I42" s="205">
        <v>0</v>
      </c>
      <c r="J42" s="205">
        <v>0</v>
      </c>
      <c r="K42" s="205">
        <v>0</v>
      </c>
      <c r="L42" s="205">
        <v>0</v>
      </c>
      <c r="M42" s="205">
        <v>0</v>
      </c>
      <c r="N42" s="355">
        <v>0</v>
      </c>
      <c r="O42" s="203">
        <v>0</v>
      </c>
      <c r="P42" s="203">
        <v>0</v>
      </c>
      <c r="Q42" s="203">
        <v>0</v>
      </c>
      <c r="R42" s="203">
        <v>0</v>
      </c>
      <c r="S42" s="203">
        <v>0</v>
      </c>
      <c r="T42" s="203">
        <v>0</v>
      </c>
      <c r="U42" s="203">
        <v>0</v>
      </c>
      <c r="V42" s="203">
        <v>0</v>
      </c>
      <c r="W42" s="203">
        <v>0</v>
      </c>
      <c r="X42" s="203">
        <v>0</v>
      </c>
      <c r="Y42" s="203">
        <v>0</v>
      </c>
      <c r="Z42" s="203">
        <v>0</v>
      </c>
    </row>
    <row r="43" spans="1:26" ht="12.75" hidden="1" customHeight="1">
      <c r="A43" s="107" t="str">
        <f>A15</f>
        <v>товары для дома</v>
      </c>
      <c r="B43" s="233" t="str">
        <f t="shared" ref="B43:B60" si="0">"в " &amp; B15</f>
        <v>в шт.</v>
      </c>
      <c r="C43" s="205">
        <v>0</v>
      </c>
      <c r="D43" s="205">
        <v>0</v>
      </c>
      <c r="E43" s="205">
        <v>0</v>
      </c>
      <c r="F43" s="205">
        <v>0</v>
      </c>
      <c r="G43" s="205">
        <v>0</v>
      </c>
      <c r="H43" s="205">
        <v>0</v>
      </c>
      <c r="I43" s="205">
        <v>0</v>
      </c>
      <c r="J43" s="205">
        <v>0</v>
      </c>
      <c r="K43" s="205">
        <v>0</v>
      </c>
      <c r="L43" s="205">
        <v>0</v>
      </c>
      <c r="M43" s="205">
        <v>0</v>
      </c>
      <c r="N43" s="355">
        <v>0</v>
      </c>
      <c r="O43" s="203">
        <v>0</v>
      </c>
      <c r="P43" s="203">
        <v>0</v>
      </c>
      <c r="Q43" s="203">
        <v>0</v>
      </c>
      <c r="R43" s="203">
        <v>0</v>
      </c>
      <c r="S43" s="203">
        <v>0</v>
      </c>
      <c r="T43" s="203">
        <v>0</v>
      </c>
      <c r="U43" s="203">
        <v>0</v>
      </c>
      <c r="V43" s="203">
        <v>0</v>
      </c>
      <c r="W43" s="203">
        <v>0</v>
      </c>
      <c r="X43" s="203">
        <v>0</v>
      </c>
      <c r="Y43" s="203">
        <v>0</v>
      </c>
      <c r="Z43" s="203">
        <v>0</v>
      </c>
    </row>
    <row r="44" spans="1:26" ht="12.75" hidden="1" customHeight="1">
      <c r="A44" s="107" t="str">
        <f>A16</f>
        <v>Продукт 4</v>
      </c>
      <c r="B44" s="233" t="str">
        <f t="shared" si="0"/>
        <v>в шт.</v>
      </c>
      <c r="C44" s="203">
        <v>0</v>
      </c>
      <c r="D44" s="203">
        <v>0</v>
      </c>
      <c r="E44" s="203">
        <v>0</v>
      </c>
      <c r="F44" s="203">
        <v>0</v>
      </c>
      <c r="G44" s="203">
        <v>0</v>
      </c>
      <c r="H44" s="203">
        <v>0</v>
      </c>
      <c r="I44" s="203">
        <v>0</v>
      </c>
      <c r="J44" s="203">
        <v>0</v>
      </c>
      <c r="K44" s="203">
        <v>0</v>
      </c>
      <c r="L44" s="203">
        <v>0</v>
      </c>
      <c r="M44" s="203">
        <v>0</v>
      </c>
      <c r="N44" s="203">
        <v>0</v>
      </c>
      <c r="O44" s="203">
        <v>0</v>
      </c>
      <c r="P44" s="203">
        <v>0</v>
      </c>
      <c r="Q44" s="203">
        <v>0</v>
      </c>
      <c r="R44" s="203">
        <v>0</v>
      </c>
      <c r="S44" s="203">
        <v>0</v>
      </c>
      <c r="T44" s="203">
        <v>0</v>
      </c>
      <c r="U44" s="203">
        <v>0</v>
      </c>
      <c r="V44" s="203">
        <v>0</v>
      </c>
      <c r="W44" s="203">
        <v>0</v>
      </c>
      <c r="X44" s="203">
        <v>0</v>
      </c>
      <c r="Y44" s="203">
        <v>0</v>
      </c>
      <c r="Z44" s="203">
        <v>0</v>
      </c>
    </row>
    <row r="45" spans="1:26" ht="12.75" hidden="1" customHeight="1">
      <c r="A45" s="107" t="str">
        <f t="shared" ref="A45:A60" si="1">A17</f>
        <v>Продукт 5</v>
      </c>
      <c r="B45" s="233" t="str">
        <f t="shared" si="0"/>
        <v>в шт.</v>
      </c>
      <c r="C45" s="203">
        <v>0</v>
      </c>
      <c r="D45" s="203">
        <v>0</v>
      </c>
      <c r="E45" s="203">
        <v>0</v>
      </c>
      <c r="F45" s="203">
        <v>0</v>
      </c>
      <c r="G45" s="203">
        <v>0</v>
      </c>
      <c r="H45" s="203">
        <v>0</v>
      </c>
      <c r="I45" s="203">
        <v>0</v>
      </c>
      <c r="J45" s="203">
        <v>0</v>
      </c>
      <c r="K45" s="203">
        <v>0</v>
      </c>
      <c r="L45" s="203">
        <v>0</v>
      </c>
      <c r="M45" s="203">
        <v>0</v>
      </c>
      <c r="N45" s="203">
        <v>0</v>
      </c>
      <c r="O45" s="203">
        <v>0</v>
      </c>
      <c r="P45" s="203">
        <v>0</v>
      </c>
      <c r="Q45" s="203">
        <v>0</v>
      </c>
      <c r="R45" s="203">
        <v>0</v>
      </c>
      <c r="S45" s="203">
        <v>0</v>
      </c>
      <c r="T45" s="203">
        <v>0</v>
      </c>
      <c r="U45" s="203">
        <v>0</v>
      </c>
      <c r="V45" s="203">
        <v>0</v>
      </c>
      <c r="W45" s="203">
        <v>0</v>
      </c>
      <c r="X45" s="203">
        <v>0</v>
      </c>
      <c r="Y45" s="203">
        <v>0</v>
      </c>
      <c r="Z45" s="203">
        <v>0</v>
      </c>
    </row>
    <row r="46" spans="1:26" ht="12.75" hidden="1" customHeight="1">
      <c r="A46" s="107" t="str">
        <f t="shared" si="1"/>
        <v>Продукт 6</v>
      </c>
      <c r="B46" s="233" t="str">
        <f t="shared" si="0"/>
        <v>в шт.</v>
      </c>
      <c r="C46" s="203">
        <v>0</v>
      </c>
      <c r="D46" s="203">
        <v>0</v>
      </c>
      <c r="E46" s="203">
        <v>0</v>
      </c>
      <c r="F46" s="203">
        <v>0</v>
      </c>
      <c r="G46" s="203">
        <v>0</v>
      </c>
      <c r="H46" s="203">
        <v>0</v>
      </c>
      <c r="I46" s="203">
        <v>0</v>
      </c>
      <c r="J46" s="203">
        <v>0</v>
      </c>
      <c r="K46" s="203">
        <v>0</v>
      </c>
      <c r="L46" s="203">
        <v>0</v>
      </c>
      <c r="M46" s="203">
        <v>0</v>
      </c>
      <c r="N46" s="203">
        <v>0</v>
      </c>
      <c r="O46" s="203">
        <v>0</v>
      </c>
      <c r="P46" s="203">
        <v>0</v>
      </c>
      <c r="Q46" s="203">
        <v>0</v>
      </c>
      <c r="R46" s="203">
        <v>0</v>
      </c>
      <c r="S46" s="203">
        <v>0</v>
      </c>
      <c r="T46" s="203">
        <v>0</v>
      </c>
      <c r="U46" s="203">
        <v>0</v>
      </c>
      <c r="V46" s="203">
        <v>0</v>
      </c>
      <c r="W46" s="203">
        <v>0</v>
      </c>
      <c r="X46" s="203">
        <v>0</v>
      </c>
      <c r="Y46" s="203">
        <v>0</v>
      </c>
      <c r="Z46" s="203">
        <v>0</v>
      </c>
    </row>
    <row r="47" spans="1:26" ht="12.75" hidden="1" customHeight="1">
      <c r="A47" s="107" t="str">
        <f t="shared" si="1"/>
        <v>Продукт 7</v>
      </c>
      <c r="B47" s="233" t="str">
        <f t="shared" si="0"/>
        <v>в шт.</v>
      </c>
      <c r="C47" s="203">
        <v>0</v>
      </c>
      <c r="D47" s="203">
        <v>0</v>
      </c>
      <c r="E47" s="203">
        <v>0</v>
      </c>
      <c r="F47" s="203">
        <v>0</v>
      </c>
      <c r="G47" s="203">
        <v>0</v>
      </c>
      <c r="H47" s="203">
        <v>0</v>
      </c>
      <c r="I47" s="203">
        <v>0</v>
      </c>
      <c r="J47" s="203">
        <v>0</v>
      </c>
      <c r="K47" s="203">
        <v>0</v>
      </c>
      <c r="L47" s="203">
        <v>0</v>
      </c>
      <c r="M47" s="203">
        <v>0</v>
      </c>
      <c r="N47" s="203">
        <v>0</v>
      </c>
      <c r="O47" s="203">
        <v>0</v>
      </c>
      <c r="P47" s="203">
        <v>0</v>
      </c>
      <c r="Q47" s="203">
        <v>0</v>
      </c>
      <c r="R47" s="203">
        <v>0</v>
      </c>
      <c r="S47" s="203">
        <v>0</v>
      </c>
      <c r="T47" s="203">
        <v>0</v>
      </c>
      <c r="U47" s="203">
        <v>0</v>
      </c>
      <c r="V47" s="203">
        <v>0</v>
      </c>
      <c r="W47" s="203">
        <v>0</v>
      </c>
      <c r="X47" s="203">
        <v>0</v>
      </c>
      <c r="Y47" s="203">
        <v>0</v>
      </c>
      <c r="Z47" s="203">
        <v>0</v>
      </c>
    </row>
    <row r="48" spans="1:26" ht="12.75" hidden="1" customHeight="1">
      <c r="A48" s="107" t="str">
        <f t="shared" si="1"/>
        <v>Продукт 8</v>
      </c>
      <c r="B48" s="233" t="str">
        <f t="shared" si="0"/>
        <v>в шт.</v>
      </c>
      <c r="C48" s="203">
        <v>0</v>
      </c>
      <c r="D48" s="203">
        <v>0</v>
      </c>
      <c r="E48" s="203">
        <v>0</v>
      </c>
      <c r="F48" s="203">
        <v>0</v>
      </c>
      <c r="G48" s="203">
        <v>0</v>
      </c>
      <c r="H48" s="203">
        <v>0</v>
      </c>
      <c r="I48" s="203">
        <v>0</v>
      </c>
      <c r="J48" s="203">
        <v>0</v>
      </c>
      <c r="K48" s="203">
        <v>0</v>
      </c>
      <c r="L48" s="203">
        <v>0</v>
      </c>
      <c r="M48" s="203">
        <v>0</v>
      </c>
      <c r="N48" s="203">
        <v>0</v>
      </c>
      <c r="O48" s="203">
        <v>0</v>
      </c>
      <c r="P48" s="203">
        <v>0</v>
      </c>
      <c r="Q48" s="203">
        <v>0</v>
      </c>
      <c r="R48" s="203">
        <v>0</v>
      </c>
      <c r="S48" s="203">
        <v>0</v>
      </c>
      <c r="T48" s="203">
        <v>0</v>
      </c>
      <c r="U48" s="203">
        <v>0</v>
      </c>
      <c r="V48" s="203">
        <v>0</v>
      </c>
      <c r="W48" s="203">
        <v>0</v>
      </c>
      <c r="X48" s="203">
        <v>0</v>
      </c>
      <c r="Y48" s="203">
        <v>0</v>
      </c>
      <c r="Z48" s="203">
        <v>0</v>
      </c>
    </row>
    <row r="49" spans="1:26" ht="12.75" hidden="1" customHeight="1">
      <c r="A49" s="107" t="str">
        <f t="shared" si="1"/>
        <v>Продукт 9</v>
      </c>
      <c r="B49" s="233" t="str">
        <f t="shared" si="0"/>
        <v>в шт.</v>
      </c>
      <c r="C49" s="203">
        <v>0</v>
      </c>
      <c r="D49" s="203">
        <v>0</v>
      </c>
      <c r="E49" s="203">
        <v>0</v>
      </c>
      <c r="F49" s="203">
        <v>0</v>
      </c>
      <c r="G49" s="203">
        <v>0</v>
      </c>
      <c r="H49" s="203">
        <v>0</v>
      </c>
      <c r="I49" s="203">
        <v>0</v>
      </c>
      <c r="J49" s="203">
        <v>0</v>
      </c>
      <c r="K49" s="203">
        <v>0</v>
      </c>
      <c r="L49" s="203">
        <v>0</v>
      </c>
      <c r="M49" s="203">
        <v>0</v>
      </c>
      <c r="N49" s="203">
        <v>0</v>
      </c>
      <c r="O49" s="203">
        <v>0</v>
      </c>
      <c r="P49" s="203">
        <v>0</v>
      </c>
      <c r="Q49" s="203">
        <v>0</v>
      </c>
      <c r="R49" s="203">
        <v>0</v>
      </c>
      <c r="S49" s="203">
        <v>0</v>
      </c>
      <c r="T49" s="203">
        <v>0</v>
      </c>
      <c r="U49" s="203">
        <v>0</v>
      </c>
      <c r="V49" s="203">
        <v>0</v>
      </c>
      <c r="W49" s="203">
        <v>0</v>
      </c>
      <c r="X49" s="203">
        <v>0</v>
      </c>
      <c r="Y49" s="203">
        <v>0</v>
      </c>
      <c r="Z49" s="203">
        <v>0</v>
      </c>
    </row>
    <row r="50" spans="1:26" ht="12.75" hidden="1" customHeight="1">
      <c r="A50" s="107" t="str">
        <f t="shared" si="1"/>
        <v>Продукт 10</v>
      </c>
      <c r="B50" s="233" t="str">
        <f t="shared" si="0"/>
        <v>в шт.</v>
      </c>
      <c r="C50" s="203">
        <v>0</v>
      </c>
      <c r="D50" s="203">
        <v>0</v>
      </c>
      <c r="E50" s="203">
        <v>0</v>
      </c>
      <c r="F50" s="203">
        <v>0</v>
      </c>
      <c r="G50" s="203">
        <v>0</v>
      </c>
      <c r="H50" s="203">
        <v>0</v>
      </c>
      <c r="I50" s="203">
        <v>0</v>
      </c>
      <c r="J50" s="203">
        <v>0</v>
      </c>
      <c r="K50" s="203">
        <v>0</v>
      </c>
      <c r="L50" s="203">
        <v>0</v>
      </c>
      <c r="M50" s="203">
        <v>0</v>
      </c>
      <c r="N50" s="203">
        <v>0</v>
      </c>
      <c r="O50" s="203">
        <v>0</v>
      </c>
      <c r="P50" s="203">
        <v>0</v>
      </c>
      <c r="Q50" s="203">
        <v>0</v>
      </c>
      <c r="R50" s="203">
        <v>0</v>
      </c>
      <c r="S50" s="203">
        <v>0</v>
      </c>
      <c r="T50" s="203">
        <v>0</v>
      </c>
      <c r="U50" s="203">
        <v>0</v>
      </c>
      <c r="V50" s="203">
        <v>0</v>
      </c>
      <c r="W50" s="203">
        <v>0</v>
      </c>
      <c r="X50" s="203">
        <v>0</v>
      </c>
      <c r="Y50" s="203">
        <v>0</v>
      </c>
      <c r="Z50" s="203">
        <v>0</v>
      </c>
    </row>
    <row r="51" spans="1:26" ht="12.75" hidden="1" customHeight="1">
      <c r="A51" s="107" t="str">
        <f t="shared" si="1"/>
        <v>Продукт 11</v>
      </c>
      <c r="B51" s="233" t="str">
        <f t="shared" si="0"/>
        <v>в шт.</v>
      </c>
      <c r="C51" s="203">
        <v>0</v>
      </c>
      <c r="D51" s="203">
        <v>0</v>
      </c>
      <c r="E51" s="203">
        <v>0</v>
      </c>
      <c r="F51" s="203">
        <v>0</v>
      </c>
      <c r="G51" s="203">
        <v>0</v>
      </c>
      <c r="H51" s="203">
        <v>0</v>
      </c>
      <c r="I51" s="203">
        <v>0</v>
      </c>
      <c r="J51" s="203">
        <v>0</v>
      </c>
      <c r="K51" s="203">
        <v>0</v>
      </c>
      <c r="L51" s="203">
        <v>0</v>
      </c>
      <c r="M51" s="203">
        <v>0</v>
      </c>
      <c r="N51" s="203">
        <v>0</v>
      </c>
      <c r="O51" s="203">
        <v>0</v>
      </c>
      <c r="P51" s="203">
        <v>0</v>
      </c>
      <c r="Q51" s="203">
        <v>0</v>
      </c>
      <c r="R51" s="203">
        <v>0</v>
      </c>
      <c r="S51" s="203">
        <v>0</v>
      </c>
      <c r="T51" s="203">
        <v>0</v>
      </c>
      <c r="U51" s="203">
        <v>0</v>
      </c>
      <c r="V51" s="203">
        <v>0</v>
      </c>
      <c r="W51" s="203">
        <v>0</v>
      </c>
      <c r="X51" s="203">
        <v>0</v>
      </c>
      <c r="Y51" s="203">
        <v>0</v>
      </c>
      <c r="Z51" s="203">
        <v>0</v>
      </c>
    </row>
    <row r="52" spans="1:26" ht="12.75" hidden="1" customHeight="1">
      <c r="A52" s="107" t="str">
        <f t="shared" si="1"/>
        <v>Продукт 12</v>
      </c>
      <c r="B52" s="233" t="str">
        <f t="shared" si="0"/>
        <v>в шт.</v>
      </c>
      <c r="C52" s="203">
        <v>0</v>
      </c>
      <c r="D52" s="203">
        <v>0</v>
      </c>
      <c r="E52" s="203">
        <v>0</v>
      </c>
      <c r="F52" s="203">
        <v>0</v>
      </c>
      <c r="G52" s="203">
        <v>0</v>
      </c>
      <c r="H52" s="203">
        <v>0</v>
      </c>
      <c r="I52" s="203">
        <v>0</v>
      </c>
      <c r="J52" s="203">
        <v>0</v>
      </c>
      <c r="K52" s="203">
        <v>0</v>
      </c>
      <c r="L52" s="203">
        <v>0</v>
      </c>
      <c r="M52" s="203">
        <v>0</v>
      </c>
      <c r="N52" s="203">
        <v>0</v>
      </c>
      <c r="O52" s="203">
        <v>0</v>
      </c>
      <c r="P52" s="203">
        <v>0</v>
      </c>
      <c r="Q52" s="203">
        <v>0</v>
      </c>
      <c r="R52" s="203">
        <v>0</v>
      </c>
      <c r="S52" s="203">
        <v>0</v>
      </c>
      <c r="T52" s="203">
        <v>0</v>
      </c>
      <c r="U52" s="203">
        <v>0</v>
      </c>
      <c r="V52" s="203">
        <v>0</v>
      </c>
      <c r="W52" s="203">
        <v>0</v>
      </c>
      <c r="X52" s="203">
        <v>0</v>
      </c>
      <c r="Y52" s="203">
        <v>0</v>
      </c>
      <c r="Z52" s="203">
        <v>0</v>
      </c>
    </row>
    <row r="53" spans="1:26" ht="12.75" hidden="1" customHeight="1">
      <c r="A53" s="107" t="str">
        <f t="shared" si="1"/>
        <v>Продукт 13</v>
      </c>
      <c r="B53" s="233" t="str">
        <f t="shared" si="0"/>
        <v>в шт.</v>
      </c>
      <c r="C53" s="203">
        <v>0</v>
      </c>
      <c r="D53" s="203">
        <v>0</v>
      </c>
      <c r="E53" s="203">
        <v>0</v>
      </c>
      <c r="F53" s="203">
        <v>0</v>
      </c>
      <c r="G53" s="203">
        <v>0</v>
      </c>
      <c r="H53" s="203">
        <v>0</v>
      </c>
      <c r="I53" s="203">
        <v>0</v>
      </c>
      <c r="J53" s="203">
        <v>0</v>
      </c>
      <c r="K53" s="203">
        <v>0</v>
      </c>
      <c r="L53" s="203">
        <v>0</v>
      </c>
      <c r="M53" s="203">
        <v>0</v>
      </c>
      <c r="N53" s="203">
        <v>0</v>
      </c>
      <c r="O53" s="203">
        <v>0</v>
      </c>
      <c r="P53" s="203">
        <v>0</v>
      </c>
      <c r="Q53" s="203">
        <v>0</v>
      </c>
      <c r="R53" s="203">
        <v>0</v>
      </c>
      <c r="S53" s="203">
        <v>0</v>
      </c>
      <c r="T53" s="203">
        <v>0</v>
      </c>
      <c r="U53" s="203">
        <v>0</v>
      </c>
      <c r="V53" s="203">
        <v>0</v>
      </c>
      <c r="W53" s="203">
        <v>0</v>
      </c>
      <c r="X53" s="203">
        <v>0</v>
      </c>
      <c r="Y53" s="203">
        <v>0</v>
      </c>
      <c r="Z53" s="203">
        <v>0</v>
      </c>
    </row>
    <row r="54" spans="1:26" ht="12.75" hidden="1" customHeight="1">
      <c r="A54" s="107" t="str">
        <f t="shared" si="1"/>
        <v>Продукт 14</v>
      </c>
      <c r="B54" s="233" t="str">
        <f t="shared" si="0"/>
        <v>в шт.</v>
      </c>
      <c r="C54" s="203">
        <v>0</v>
      </c>
      <c r="D54" s="203">
        <v>0</v>
      </c>
      <c r="E54" s="203">
        <v>0</v>
      </c>
      <c r="F54" s="203">
        <v>0</v>
      </c>
      <c r="G54" s="203">
        <v>0</v>
      </c>
      <c r="H54" s="203">
        <v>0</v>
      </c>
      <c r="I54" s="203">
        <v>0</v>
      </c>
      <c r="J54" s="203">
        <v>0</v>
      </c>
      <c r="K54" s="203">
        <v>0</v>
      </c>
      <c r="L54" s="203">
        <v>0</v>
      </c>
      <c r="M54" s="203">
        <v>0</v>
      </c>
      <c r="N54" s="203">
        <v>0</v>
      </c>
      <c r="O54" s="203">
        <v>0</v>
      </c>
      <c r="P54" s="203">
        <v>0</v>
      </c>
      <c r="Q54" s="203">
        <v>0</v>
      </c>
      <c r="R54" s="203">
        <v>0</v>
      </c>
      <c r="S54" s="203">
        <v>0</v>
      </c>
      <c r="T54" s="203">
        <v>0</v>
      </c>
      <c r="U54" s="203">
        <v>0</v>
      </c>
      <c r="V54" s="203">
        <v>0</v>
      </c>
      <c r="W54" s="203">
        <v>0</v>
      </c>
      <c r="X54" s="203">
        <v>0</v>
      </c>
      <c r="Y54" s="203">
        <v>0</v>
      </c>
      <c r="Z54" s="203">
        <v>0</v>
      </c>
    </row>
    <row r="55" spans="1:26" ht="12.75" hidden="1" customHeight="1">
      <c r="A55" s="107" t="str">
        <f t="shared" si="1"/>
        <v>Продукт 15</v>
      </c>
      <c r="B55" s="233" t="str">
        <f t="shared" si="0"/>
        <v>в шт.</v>
      </c>
      <c r="C55" s="203">
        <v>0</v>
      </c>
      <c r="D55" s="203">
        <v>0</v>
      </c>
      <c r="E55" s="203">
        <v>0</v>
      </c>
      <c r="F55" s="203">
        <v>0</v>
      </c>
      <c r="G55" s="203">
        <v>0</v>
      </c>
      <c r="H55" s="203">
        <v>0</v>
      </c>
      <c r="I55" s="203">
        <v>0</v>
      </c>
      <c r="J55" s="203">
        <v>0</v>
      </c>
      <c r="K55" s="203">
        <v>0</v>
      </c>
      <c r="L55" s="203">
        <v>0</v>
      </c>
      <c r="M55" s="203">
        <v>0</v>
      </c>
      <c r="N55" s="203">
        <v>0</v>
      </c>
      <c r="O55" s="203">
        <v>0</v>
      </c>
      <c r="P55" s="203">
        <v>0</v>
      </c>
      <c r="Q55" s="203">
        <v>0</v>
      </c>
      <c r="R55" s="203">
        <v>0</v>
      </c>
      <c r="S55" s="203">
        <v>0</v>
      </c>
      <c r="T55" s="203">
        <v>0</v>
      </c>
      <c r="U55" s="203">
        <v>0</v>
      </c>
      <c r="V55" s="203">
        <v>0</v>
      </c>
      <c r="W55" s="203">
        <v>0</v>
      </c>
      <c r="X55" s="203">
        <v>0</v>
      </c>
      <c r="Y55" s="203">
        <v>0</v>
      </c>
      <c r="Z55" s="203">
        <v>0</v>
      </c>
    </row>
    <row r="56" spans="1:26" ht="12.75" hidden="1" customHeight="1">
      <c r="A56" s="107" t="str">
        <f t="shared" si="1"/>
        <v>Продукт 16</v>
      </c>
      <c r="B56" s="233" t="str">
        <f t="shared" si="0"/>
        <v>в шт.</v>
      </c>
      <c r="C56" s="203">
        <v>0</v>
      </c>
      <c r="D56" s="203">
        <v>0</v>
      </c>
      <c r="E56" s="203">
        <v>0</v>
      </c>
      <c r="F56" s="203">
        <v>0</v>
      </c>
      <c r="G56" s="203">
        <v>0</v>
      </c>
      <c r="H56" s="203">
        <v>0</v>
      </c>
      <c r="I56" s="203">
        <v>0</v>
      </c>
      <c r="J56" s="203">
        <v>0</v>
      </c>
      <c r="K56" s="203">
        <v>0</v>
      </c>
      <c r="L56" s="203">
        <v>0</v>
      </c>
      <c r="M56" s="203">
        <v>0</v>
      </c>
      <c r="N56" s="203">
        <v>0</v>
      </c>
      <c r="O56" s="203">
        <v>0</v>
      </c>
      <c r="P56" s="203">
        <v>0</v>
      </c>
      <c r="Q56" s="203">
        <v>0</v>
      </c>
      <c r="R56" s="203">
        <v>0</v>
      </c>
      <c r="S56" s="203">
        <v>0</v>
      </c>
      <c r="T56" s="203">
        <v>0</v>
      </c>
      <c r="U56" s="203">
        <v>0</v>
      </c>
      <c r="V56" s="203">
        <v>0</v>
      </c>
      <c r="W56" s="203">
        <v>0</v>
      </c>
      <c r="X56" s="203">
        <v>0</v>
      </c>
      <c r="Y56" s="203">
        <v>0</v>
      </c>
      <c r="Z56" s="203">
        <v>0</v>
      </c>
    </row>
    <row r="57" spans="1:26" ht="12.75" hidden="1" customHeight="1">
      <c r="A57" s="107" t="str">
        <f t="shared" si="1"/>
        <v>Продукт 17</v>
      </c>
      <c r="B57" s="233" t="str">
        <f t="shared" si="0"/>
        <v>в шт.</v>
      </c>
      <c r="C57" s="203">
        <v>0</v>
      </c>
      <c r="D57" s="203">
        <v>0</v>
      </c>
      <c r="E57" s="203">
        <v>0</v>
      </c>
      <c r="F57" s="203">
        <v>0</v>
      </c>
      <c r="G57" s="203">
        <v>0</v>
      </c>
      <c r="H57" s="203">
        <v>0</v>
      </c>
      <c r="I57" s="203">
        <v>0</v>
      </c>
      <c r="J57" s="203">
        <v>0</v>
      </c>
      <c r="K57" s="203">
        <v>0</v>
      </c>
      <c r="L57" s="203">
        <v>0</v>
      </c>
      <c r="M57" s="203">
        <v>0</v>
      </c>
      <c r="N57" s="203">
        <v>0</v>
      </c>
      <c r="O57" s="203">
        <v>0</v>
      </c>
      <c r="P57" s="203">
        <v>0</v>
      </c>
      <c r="Q57" s="203">
        <v>0</v>
      </c>
      <c r="R57" s="203">
        <v>0</v>
      </c>
      <c r="S57" s="203">
        <v>0</v>
      </c>
      <c r="T57" s="203">
        <v>0</v>
      </c>
      <c r="U57" s="203">
        <v>0</v>
      </c>
      <c r="V57" s="203">
        <v>0</v>
      </c>
      <c r="W57" s="203">
        <v>0</v>
      </c>
      <c r="X57" s="203">
        <v>0</v>
      </c>
      <c r="Y57" s="203">
        <v>0</v>
      </c>
      <c r="Z57" s="203">
        <v>0</v>
      </c>
    </row>
    <row r="58" spans="1:26" ht="12.75" hidden="1" customHeight="1">
      <c r="A58" s="107" t="str">
        <f t="shared" si="1"/>
        <v>Продукт 18</v>
      </c>
      <c r="B58" s="233" t="str">
        <f t="shared" si="0"/>
        <v>в шт.</v>
      </c>
      <c r="C58" s="203">
        <v>0</v>
      </c>
      <c r="D58" s="203">
        <v>0</v>
      </c>
      <c r="E58" s="203">
        <v>0</v>
      </c>
      <c r="F58" s="203">
        <v>0</v>
      </c>
      <c r="G58" s="203">
        <v>0</v>
      </c>
      <c r="H58" s="203">
        <v>0</v>
      </c>
      <c r="I58" s="203">
        <v>0</v>
      </c>
      <c r="J58" s="203">
        <v>0</v>
      </c>
      <c r="K58" s="203">
        <v>0</v>
      </c>
      <c r="L58" s="203">
        <v>0</v>
      </c>
      <c r="M58" s="203">
        <v>0</v>
      </c>
      <c r="N58" s="203">
        <v>0</v>
      </c>
      <c r="O58" s="203">
        <v>0</v>
      </c>
      <c r="P58" s="203">
        <v>0</v>
      </c>
      <c r="Q58" s="203">
        <v>0</v>
      </c>
      <c r="R58" s="203">
        <v>0</v>
      </c>
      <c r="S58" s="203">
        <v>0</v>
      </c>
      <c r="T58" s="203">
        <v>0</v>
      </c>
      <c r="U58" s="203">
        <v>0</v>
      </c>
      <c r="V58" s="203">
        <v>0</v>
      </c>
      <c r="W58" s="203">
        <v>0</v>
      </c>
      <c r="X58" s="203">
        <v>0</v>
      </c>
      <c r="Y58" s="203">
        <v>0</v>
      </c>
      <c r="Z58" s="203">
        <v>0</v>
      </c>
    </row>
    <row r="59" spans="1:26" ht="12.75" hidden="1" customHeight="1">
      <c r="A59" s="107" t="str">
        <f t="shared" si="1"/>
        <v>Продукт 19</v>
      </c>
      <c r="B59" s="233" t="str">
        <f t="shared" si="0"/>
        <v>в шт.</v>
      </c>
      <c r="C59" s="203">
        <v>0</v>
      </c>
      <c r="D59" s="203">
        <v>0</v>
      </c>
      <c r="E59" s="203">
        <v>0</v>
      </c>
      <c r="F59" s="203">
        <v>0</v>
      </c>
      <c r="G59" s="203">
        <v>0</v>
      </c>
      <c r="H59" s="203">
        <v>0</v>
      </c>
      <c r="I59" s="203">
        <v>0</v>
      </c>
      <c r="J59" s="203">
        <v>0</v>
      </c>
      <c r="K59" s="203">
        <v>0</v>
      </c>
      <c r="L59" s="203">
        <v>0</v>
      </c>
      <c r="M59" s="203">
        <v>0</v>
      </c>
      <c r="N59" s="203">
        <v>0</v>
      </c>
      <c r="O59" s="203">
        <v>0</v>
      </c>
      <c r="P59" s="203">
        <v>0</v>
      </c>
      <c r="Q59" s="203">
        <v>0</v>
      </c>
      <c r="R59" s="203">
        <v>0</v>
      </c>
      <c r="S59" s="203">
        <v>0</v>
      </c>
      <c r="T59" s="203">
        <v>0</v>
      </c>
      <c r="U59" s="203">
        <v>0</v>
      </c>
      <c r="V59" s="203">
        <v>0</v>
      </c>
      <c r="W59" s="203">
        <v>0</v>
      </c>
      <c r="X59" s="203">
        <v>0</v>
      </c>
      <c r="Y59" s="203">
        <v>0</v>
      </c>
      <c r="Z59" s="203">
        <v>0</v>
      </c>
    </row>
    <row r="60" spans="1:26" ht="12.75" hidden="1" customHeight="1">
      <c r="A60" s="107" t="str">
        <f t="shared" si="1"/>
        <v>Продукт 20</v>
      </c>
      <c r="B60" s="233" t="str">
        <f t="shared" si="0"/>
        <v>в шт.</v>
      </c>
      <c r="C60" s="203">
        <v>0</v>
      </c>
      <c r="D60" s="203">
        <v>0</v>
      </c>
      <c r="E60" s="203">
        <v>0</v>
      </c>
      <c r="F60" s="203">
        <v>0</v>
      </c>
      <c r="G60" s="203">
        <v>0</v>
      </c>
      <c r="H60" s="203">
        <v>0</v>
      </c>
      <c r="I60" s="203">
        <v>0</v>
      </c>
      <c r="J60" s="203">
        <v>0</v>
      </c>
      <c r="K60" s="203">
        <v>0</v>
      </c>
      <c r="L60" s="203">
        <v>0</v>
      </c>
      <c r="M60" s="203">
        <v>0</v>
      </c>
      <c r="N60" s="203">
        <v>0</v>
      </c>
      <c r="O60" s="203">
        <v>0</v>
      </c>
      <c r="P60" s="203">
        <v>0</v>
      </c>
      <c r="Q60" s="203">
        <v>0</v>
      </c>
      <c r="R60" s="203">
        <v>0</v>
      </c>
      <c r="S60" s="203">
        <v>0</v>
      </c>
      <c r="T60" s="203">
        <v>0</v>
      </c>
      <c r="U60" s="203">
        <v>0</v>
      </c>
      <c r="V60" s="203">
        <v>0</v>
      </c>
      <c r="W60" s="203">
        <v>0</v>
      </c>
      <c r="X60" s="203">
        <v>0</v>
      </c>
      <c r="Y60" s="203">
        <v>0</v>
      </c>
      <c r="Z60" s="203">
        <v>0</v>
      </c>
    </row>
    <row r="61" spans="1:26" ht="12.75" customHeight="1" thickBot="1">
      <c r="B61" s="124"/>
      <c r="C61" s="127"/>
      <c r="D61" s="127"/>
      <c r="E61" s="127"/>
      <c r="F61" s="127"/>
      <c r="G61" s="127"/>
      <c r="H61" s="127"/>
      <c r="I61" s="127"/>
      <c r="J61" s="127"/>
      <c r="K61" s="127"/>
      <c r="L61" s="127"/>
      <c r="M61" s="127"/>
      <c r="N61" s="127"/>
    </row>
    <row r="62" spans="1:26" ht="12.75" customHeight="1" thickBot="1">
      <c r="A62" s="128" t="s">
        <v>7</v>
      </c>
      <c r="B62" s="129" t="s">
        <v>8</v>
      </c>
      <c r="C62" s="356" t="str">
        <f t="shared" ref="C62:N62" si="2">C40</f>
        <v>1/2027</v>
      </c>
      <c r="D62" s="126" t="str">
        <f t="shared" si="2"/>
        <v>2/2027</v>
      </c>
      <c r="E62" s="126" t="str">
        <f t="shared" si="2"/>
        <v>3/2027</v>
      </c>
      <c r="F62" s="126" t="str">
        <f t="shared" si="2"/>
        <v>4/2027</v>
      </c>
      <c r="G62" s="126" t="str">
        <f t="shared" si="2"/>
        <v>5/2027</v>
      </c>
      <c r="H62" s="126" t="str">
        <f t="shared" si="2"/>
        <v>6/2027</v>
      </c>
      <c r="I62" s="126" t="str">
        <f t="shared" si="2"/>
        <v>7/2027</v>
      </c>
      <c r="J62" s="126" t="str">
        <f t="shared" si="2"/>
        <v>8/2027</v>
      </c>
      <c r="K62" s="126" t="str">
        <f t="shared" si="2"/>
        <v>9/2027</v>
      </c>
      <c r="L62" s="126" t="str">
        <f t="shared" si="2"/>
        <v>10/2027</v>
      </c>
      <c r="M62" s="126" t="str">
        <f t="shared" si="2"/>
        <v>11/2027</v>
      </c>
      <c r="N62" s="126" t="str">
        <f t="shared" si="2"/>
        <v>12/2027</v>
      </c>
      <c r="O62" s="126" t="str">
        <f t="shared" ref="O62:Z62" si="3">O40</f>
        <v>1/2028</v>
      </c>
      <c r="P62" s="126" t="str">
        <f t="shared" si="3"/>
        <v>2/2028</v>
      </c>
      <c r="Q62" s="126" t="str">
        <f t="shared" si="3"/>
        <v>3/2028</v>
      </c>
      <c r="R62" s="126" t="str">
        <f t="shared" si="3"/>
        <v>4/2028</v>
      </c>
      <c r="S62" s="126" t="str">
        <f t="shared" si="3"/>
        <v>5/2028</v>
      </c>
      <c r="T62" s="126" t="str">
        <f t="shared" si="3"/>
        <v>6/2028</v>
      </c>
      <c r="U62" s="126" t="str">
        <f t="shared" si="3"/>
        <v>7/2028</v>
      </c>
      <c r="V62" s="126" t="str">
        <f t="shared" si="3"/>
        <v>8/2028</v>
      </c>
      <c r="W62" s="126" t="str">
        <f t="shared" si="3"/>
        <v>9/2028</v>
      </c>
      <c r="X62" s="126" t="str">
        <f t="shared" si="3"/>
        <v>10/2028</v>
      </c>
      <c r="Y62" s="126" t="str">
        <f t="shared" si="3"/>
        <v>11/2028</v>
      </c>
      <c r="Z62" s="130" t="str">
        <f t="shared" si="3"/>
        <v>12/2028</v>
      </c>
    </row>
    <row r="63" spans="1:26" ht="12.75" customHeight="1">
      <c r="A63" s="107" t="str">
        <f>A13</f>
        <v>товар1</v>
      </c>
      <c r="B63" s="233" t="str">
        <f>"за 1 " &amp; B13</f>
        <v>за 1 шт.</v>
      </c>
      <c r="C63" s="204">
        <v>1000</v>
      </c>
      <c r="D63" s="204">
        <v>1000</v>
      </c>
      <c r="E63" s="204">
        <v>1000</v>
      </c>
      <c r="F63" s="204">
        <v>1000</v>
      </c>
      <c r="G63" s="204">
        <v>1000</v>
      </c>
      <c r="H63" s="204">
        <v>1000</v>
      </c>
      <c r="I63" s="204">
        <v>0</v>
      </c>
      <c r="J63" s="204">
        <v>0</v>
      </c>
      <c r="K63" s="204">
        <v>0</v>
      </c>
      <c r="L63" s="204">
        <v>0</v>
      </c>
      <c r="M63" s="204">
        <v>0</v>
      </c>
      <c r="N63" s="354">
        <v>0</v>
      </c>
      <c r="O63" s="204">
        <v>0</v>
      </c>
      <c r="P63" s="204">
        <v>0</v>
      </c>
      <c r="Q63" s="204">
        <v>0</v>
      </c>
      <c r="R63" s="204">
        <v>0</v>
      </c>
      <c r="S63" s="204">
        <v>0</v>
      </c>
      <c r="T63" s="204">
        <v>0</v>
      </c>
      <c r="U63" s="204">
        <v>0</v>
      </c>
      <c r="V63" s="204">
        <v>0</v>
      </c>
      <c r="W63" s="204">
        <v>0</v>
      </c>
      <c r="X63" s="204">
        <v>0</v>
      </c>
      <c r="Y63" s="204">
        <v>0</v>
      </c>
      <c r="Z63" s="204">
        <v>0</v>
      </c>
    </row>
    <row r="64" spans="1:26" ht="12.75" hidden="1" customHeight="1">
      <c r="A64" s="107" t="str">
        <f>A14</f>
        <v>косметика</v>
      </c>
      <c r="B64" s="233" t="str">
        <f>"за 1 " &amp; B14</f>
        <v>за 1 шт.</v>
      </c>
      <c r="C64" s="205">
        <v>0</v>
      </c>
      <c r="D64" s="205">
        <v>0</v>
      </c>
      <c r="E64" s="205">
        <v>0</v>
      </c>
      <c r="F64" s="205">
        <v>0</v>
      </c>
      <c r="G64" s="205">
        <v>0</v>
      </c>
      <c r="H64" s="205">
        <v>0</v>
      </c>
      <c r="I64" s="205">
        <v>0</v>
      </c>
      <c r="J64" s="205">
        <v>0</v>
      </c>
      <c r="K64" s="205">
        <v>0</v>
      </c>
      <c r="L64" s="205">
        <v>0</v>
      </c>
      <c r="M64" s="205">
        <v>0</v>
      </c>
      <c r="N64" s="355">
        <v>0</v>
      </c>
      <c r="O64" s="205">
        <v>0</v>
      </c>
      <c r="P64" s="205">
        <v>0</v>
      </c>
      <c r="Q64" s="205">
        <v>0</v>
      </c>
      <c r="R64" s="205">
        <v>0</v>
      </c>
      <c r="S64" s="205">
        <v>0</v>
      </c>
      <c r="T64" s="205">
        <v>0</v>
      </c>
      <c r="U64" s="205">
        <v>0</v>
      </c>
      <c r="V64" s="205">
        <v>0</v>
      </c>
      <c r="W64" s="205">
        <v>0</v>
      </c>
      <c r="X64" s="205">
        <v>0</v>
      </c>
      <c r="Y64" s="205">
        <v>0</v>
      </c>
      <c r="Z64" s="205">
        <v>0</v>
      </c>
    </row>
    <row r="65" spans="1:26" ht="12.75" hidden="1" customHeight="1">
      <c r="A65" s="107" t="str">
        <f>A15</f>
        <v>товары для дома</v>
      </c>
      <c r="B65" s="233" t="str">
        <f t="shared" ref="B65:B82" si="4">"за 1 " &amp; B15</f>
        <v>за 1 шт.</v>
      </c>
      <c r="C65" s="205">
        <v>0</v>
      </c>
      <c r="D65" s="205">
        <v>0</v>
      </c>
      <c r="E65" s="205">
        <v>0</v>
      </c>
      <c r="F65" s="205">
        <v>0</v>
      </c>
      <c r="G65" s="205">
        <v>0</v>
      </c>
      <c r="H65" s="205">
        <v>0</v>
      </c>
      <c r="I65" s="205">
        <v>0</v>
      </c>
      <c r="J65" s="205">
        <v>0</v>
      </c>
      <c r="K65" s="205">
        <v>0</v>
      </c>
      <c r="L65" s="205">
        <v>0</v>
      </c>
      <c r="M65" s="205">
        <v>0</v>
      </c>
      <c r="N65" s="355">
        <v>0</v>
      </c>
      <c r="O65" s="205">
        <v>0</v>
      </c>
      <c r="P65" s="205">
        <v>0</v>
      </c>
      <c r="Q65" s="205">
        <v>0</v>
      </c>
      <c r="R65" s="205">
        <v>0</v>
      </c>
      <c r="S65" s="205">
        <v>0</v>
      </c>
      <c r="T65" s="205">
        <v>0</v>
      </c>
      <c r="U65" s="205">
        <v>0</v>
      </c>
      <c r="V65" s="205">
        <v>0</v>
      </c>
      <c r="W65" s="205">
        <v>0</v>
      </c>
      <c r="X65" s="205">
        <v>0</v>
      </c>
      <c r="Y65" s="205">
        <v>0</v>
      </c>
      <c r="Z65" s="205">
        <v>0</v>
      </c>
    </row>
    <row r="66" spans="1:26" ht="12.75" hidden="1" customHeight="1">
      <c r="A66" s="107" t="str">
        <f>A16</f>
        <v>Продукт 4</v>
      </c>
      <c r="B66" s="233" t="str">
        <f t="shared" si="4"/>
        <v>за 1 шт.</v>
      </c>
      <c r="C66" s="205">
        <v>0</v>
      </c>
      <c r="D66" s="205">
        <v>0</v>
      </c>
      <c r="E66" s="205">
        <v>0</v>
      </c>
      <c r="F66" s="205">
        <v>0</v>
      </c>
      <c r="G66" s="205">
        <v>0</v>
      </c>
      <c r="H66" s="205">
        <v>0</v>
      </c>
      <c r="I66" s="205">
        <v>0</v>
      </c>
      <c r="J66" s="205">
        <v>0</v>
      </c>
      <c r="K66" s="205">
        <v>0</v>
      </c>
      <c r="L66" s="205">
        <v>0</v>
      </c>
      <c r="M66" s="205">
        <v>0</v>
      </c>
      <c r="N66" s="205">
        <v>0</v>
      </c>
      <c r="O66" s="205">
        <v>0</v>
      </c>
      <c r="P66" s="205">
        <v>0</v>
      </c>
      <c r="Q66" s="205">
        <v>0</v>
      </c>
      <c r="R66" s="205">
        <v>0</v>
      </c>
      <c r="S66" s="205">
        <v>0</v>
      </c>
      <c r="T66" s="205">
        <v>0</v>
      </c>
      <c r="U66" s="205">
        <v>0</v>
      </c>
      <c r="V66" s="205">
        <v>0</v>
      </c>
      <c r="W66" s="205">
        <v>0</v>
      </c>
      <c r="X66" s="205">
        <v>0</v>
      </c>
      <c r="Y66" s="205">
        <v>0</v>
      </c>
      <c r="Z66" s="205">
        <v>0</v>
      </c>
    </row>
    <row r="67" spans="1:26" ht="12.75" hidden="1" customHeight="1">
      <c r="A67" s="107" t="str">
        <f t="shared" ref="A67:A82" si="5">A17</f>
        <v>Продукт 5</v>
      </c>
      <c r="B67" s="233" t="str">
        <f t="shared" si="4"/>
        <v>за 1 шт.</v>
      </c>
      <c r="C67" s="205">
        <v>0</v>
      </c>
      <c r="D67" s="205">
        <v>0</v>
      </c>
      <c r="E67" s="205">
        <v>0</v>
      </c>
      <c r="F67" s="205">
        <v>0</v>
      </c>
      <c r="G67" s="205">
        <v>0</v>
      </c>
      <c r="H67" s="205">
        <v>0</v>
      </c>
      <c r="I67" s="205">
        <v>0</v>
      </c>
      <c r="J67" s="205">
        <v>0</v>
      </c>
      <c r="K67" s="205">
        <v>0</v>
      </c>
      <c r="L67" s="205">
        <v>0</v>
      </c>
      <c r="M67" s="205">
        <v>0</v>
      </c>
      <c r="N67" s="205">
        <v>0</v>
      </c>
      <c r="O67" s="205">
        <v>0</v>
      </c>
      <c r="P67" s="205">
        <v>0</v>
      </c>
      <c r="Q67" s="205">
        <v>0</v>
      </c>
      <c r="R67" s="205">
        <v>0</v>
      </c>
      <c r="S67" s="205">
        <v>0</v>
      </c>
      <c r="T67" s="205">
        <v>0</v>
      </c>
      <c r="U67" s="205">
        <v>0</v>
      </c>
      <c r="V67" s="205">
        <v>0</v>
      </c>
      <c r="W67" s="205">
        <v>0</v>
      </c>
      <c r="X67" s="205">
        <v>0</v>
      </c>
      <c r="Y67" s="205">
        <v>0</v>
      </c>
      <c r="Z67" s="205">
        <v>0</v>
      </c>
    </row>
    <row r="68" spans="1:26" ht="12.75" hidden="1" customHeight="1">
      <c r="A68" s="107" t="str">
        <f t="shared" si="5"/>
        <v>Продукт 6</v>
      </c>
      <c r="B68" s="233" t="str">
        <f t="shared" si="4"/>
        <v>за 1 шт.</v>
      </c>
      <c r="C68" s="205">
        <v>0</v>
      </c>
      <c r="D68" s="205">
        <v>0</v>
      </c>
      <c r="E68" s="205">
        <v>0</v>
      </c>
      <c r="F68" s="205">
        <v>0</v>
      </c>
      <c r="G68" s="205">
        <v>0</v>
      </c>
      <c r="H68" s="205">
        <v>0</v>
      </c>
      <c r="I68" s="205">
        <v>0</v>
      </c>
      <c r="J68" s="205">
        <v>0</v>
      </c>
      <c r="K68" s="205">
        <v>0</v>
      </c>
      <c r="L68" s="205">
        <v>0</v>
      </c>
      <c r="M68" s="205">
        <v>0</v>
      </c>
      <c r="N68" s="205">
        <v>0</v>
      </c>
      <c r="O68" s="205">
        <v>0</v>
      </c>
      <c r="P68" s="205">
        <v>0</v>
      </c>
      <c r="Q68" s="205">
        <v>0</v>
      </c>
      <c r="R68" s="205">
        <v>0</v>
      </c>
      <c r="S68" s="205">
        <v>0</v>
      </c>
      <c r="T68" s="205">
        <v>0</v>
      </c>
      <c r="U68" s="205">
        <v>0</v>
      </c>
      <c r="V68" s="205">
        <v>0</v>
      </c>
      <c r="W68" s="205">
        <v>0</v>
      </c>
      <c r="X68" s="205">
        <v>0</v>
      </c>
      <c r="Y68" s="205">
        <v>0</v>
      </c>
      <c r="Z68" s="205">
        <v>0</v>
      </c>
    </row>
    <row r="69" spans="1:26" ht="12.75" hidden="1" customHeight="1">
      <c r="A69" s="107" t="str">
        <f t="shared" si="5"/>
        <v>Продукт 7</v>
      </c>
      <c r="B69" s="233" t="str">
        <f t="shared" si="4"/>
        <v>за 1 шт.</v>
      </c>
      <c r="C69" s="205">
        <v>0</v>
      </c>
      <c r="D69" s="205">
        <v>0</v>
      </c>
      <c r="E69" s="205">
        <v>0</v>
      </c>
      <c r="F69" s="205">
        <v>0</v>
      </c>
      <c r="G69" s="205">
        <v>0</v>
      </c>
      <c r="H69" s="205">
        <v>0</v>
      </c>
      <c r="I69" s="205">
        <v>0</v>
      </c>
      <c r="J69" s="205">
        <v>0</v>
      </c>
      <c r="K69" s="205">
        <v>0</v>
      </c>
      <c r="L69" s="205">
        <v>0</v>
      </c>
      <c r="M69" s="205">
        <v>0</v>
      </c>
      <c r="N69" s="205">
        <v>0</v>
      </c>
      <c r="O69" s="205">
        <v>0</v>
      </c>
      <c r="P69" s="205">
        <v>0</v>
      </c>
      <c r="Q69" s="205">
        <v>0</v>
      </c>
      <c r="R69" s="205">
        <v>0</v>
      </c>
      <c r="S69" s="205">
        <v>0</v>
      </c>
      <c r="T69" s="205">
        <v>0</v>
      </c>
      <c r="U69" s="205">
        <v>0</v>
      </c>
      <c r="V69" s="205">
        <v>0</v>
      </c>
      <c r="W69" s="205">
        <v>0</v>
      </c>
      <c r="X69" s="205">
        <v>0</v>
      </c>
      <c r="Y69" s="205">
        <v>0</v>
      </c>
      <c r="Z69" s="205">
        <v>0</v>
      </c>
    </row>
    <row r="70" spans="1:26" ht="12.75" hidden="1" customHeight="1">
      <c r="A70" s="107" t="str">
        <f t="shared" si="5"/>
        <v>Продукт 8</v>
      </c>
      <c r="B70" s="233" t="str">
        <f t="shared" si="4"/>
        <v>за 1 шт.</v>
      </c>
      <c r="C70" s="205">
        <v>0</v>
      </c>
      <c r="D70" s="205">
        <v>0</v>
      </c>
      <c r="E70" s="205">
        <v>0</v>
      </c>
      <c r="F70" s="205">
        <v>0</v>
      </c>
      <c r="G70" s="205">
        <v>0</v>
      </c>
      <c r="H70" s="205">
        <v>0</v>
      </c>
      <c r="I70" s="205">
        <v>0</v>
      </c>
      <c r="J70" s="205">
        <v>0</v>
      </c>
      <c r="K70" s="205">
        <v>0</v>
      </c>
      <c r="L70" s="205">
        <v>0</v>
      </c>
      <c r="M70" s="205">
        <v>0</v>
      </c>
      <c r="N70" s="205">
        <v>0</v>
      </c>
      <c r="O70" s="205">
        <v>0</v>
      </c>
      <c r="P70" s="205">
        <v>0</v>
      </c>
      <c r="Q70" s="205">
        <v>0</v>
      </c>
      <c r="R70" s="205">
        <v>0</v>
      </c>
      <c r="S70" s="205">
        <v>0</v>
      </c>
      <c r="T70" s="205">
        <v>0</v>
      </c>
      <c r="U70" s="205">
        <v>0</v>
      </c>
      <c r="V70" s="205">
        <v>0</v>
      </c>
      <c r="W70" s="205">
        <v>0</v>
      </c>
      <c r="X70" s="205">
        <v>0</v>
      </c>
      <c r="Y70" s="205">
        <v>0</v>
      </c>
      <c r="Z70" s="205">
        <v>0</v>
      </c>
    </row>
    <row r="71" spans="1:26" ht="12.75" hidden="1" customHeight="1">
      <c r="A71" s="107" t="str">
        <f t="shared" si="5"/>
        <v>Продукт 9</v>
      </c>
      <c r="B71" s="233" t="str">
        <f t="shared" si="4"/>
        <v>за 1 шт.</v>
      </c>
      <c r="C71" s="205">
        <v>0</v>
      </c>
      <c r="D71" s="205">
        <v>0</v>
      </c>
      <c r="E71" s="205">
        <v>0</v>
      </c>
      <c r="F71" s="205">
        <v>0</v>
      </c>
      <c r="G71" s="205">
        <v>0</v>
      </c>
      <c r="H71" s="205">
        <v>0</v>
      </c>
      <c r="I71" s="205">
        <v>0</v>
      </c>
      <c r="J71" s="205">
        <v>0</v>
      </c>
      <c r="K71" s="205">
        <v>0</v>
      </c>
      <c r="L71" s="205">
        <v>0</v>
      </c>
      <c r="M71" s="205">
        <v>0</v>
      </c>
      <c r="N71" s="205">
        <v>0</v>
      </c>
      <c r="O71" s="205">
        <v>0</v>
      </c>
      <c r="P71" s="205">
        <v>0</v>
      </c>
      <c r="Q71" s="205">
        <v>0</v>
      </c>
      <c r="R71" s="205">
        <v>0</v>
      </c>
      <c r="S71" s="205">
        <v>0</v>
      </c>
      <c r="T71" s="205">
        <v>0</v>
      </c>
      <c r="U71" s="205">
        <v>0</v>
      </c>
      <c r="V71" s="205">
        <v>0</v>
      </c>
      <c r="W71" s="205">
        <v>0</v>
      </c>
      <c r="X71" s="205">
        <v>0</v>
      </c>
      <c r="Y71" s="205">
        <v>0</v>
      </c>
      <c r="Z71" s="205">
        <v>0</v>
      </c>
    </row>
    <row r="72" spans="1:26" ht="12.75" hidden="1" customHeight="1">
      <c r="A72" s="107" t="str">
        <f t="shared" si="5"/>
        <v>Продукт 10</v>
      </c>
      <c r="B72" s="233" t="str">
        <f t="shared" si="4"/>
        <v>за 1 шт.</v>
      </c>
      <c r="C72" s="205">
        <v>0</v>
      </c>
      <c r="D72" s="205">
        <v>0</v>
      </c>
      <c r="E72" s="205">
        <v>0</v>
      </c>
      <c r="F72" s="205">
        <v>0</v>
      </c>
      <c r="G72" s="205">
        <v>0</v>
      </c>
      <c r="H72" s="205">
        <v>0</v>
      </c>
      <c r="I72" s="205">
        <v>0</v>
      </c>
      <c r="J72" s="205">
        <v>0</v>
      </c>
      <c r="K72" s="205">
        <v>0</v>
      </c>
      <c r="L72" s="205">
        <v>0</v>
      </c>
      <c r="M72" s="205">
        <v>0</v>
      </c>
      <c r="N72" s="205">
        <v>0</v>
      </c>
      <c r="O72" s="205">
        <v>0</v>
      </c>
      <c r="P72" s="205">
        <v>0</v>
      </c>
      <c r="Q72" s="205">
        <v>0</v>
      </c>
      <c r="R72" s="205">
        <v>0</v>
      </c>
      <c r="S72" s="205">
        <v>0</v>
      </c>
      <c r="T72" s="205">
        <v>0</v>
      </c>
      <c r="U72" s="205">
        <v>0</v>
      </c>
      <c r="V72" s="205">
        <v>0</v>
      </c>
      <c r="W72" s="205">
        <v>0</v>
      </c>
      <c r="X72" s="205">
        <v>0</v>
      </c>
      <c r="Y72" s="205">
        <v>0</v>
      </c>
      <c r="Z72" s="205">
        <v>0</v>
      </c>
    </row>
    <row r="73" spans="1:26" ht="12.75" hidden="1" customHeight="1">
      <c r="A73" s="107" t="str">
        <f t="shared" si="5"/>
        <v>Продукт 11</v>
      </c>
      <c r="B73" s="233" t="str">
        <f t="shared" si="4"/>
        <v>за 1 шт.</v>
      </c>
      <c r="C73" s="205">
        <v>0</v>
      </c>
      <c r="D73" s="205">
        <v>0</v>
      </c>
      <c r="E73" s="205">
        <v>0</v>
      </c>
      <c r="F73" s="205">
        <v>0</v>
      </c>
      <c r="G73" s="205">
        <v>0</v>
      </c>
      <c r="H73" s="205">
        <v>0</v>
      </c>
      <c r="I73" s="205">
        <v>0</v>
      </c>
      <c r="J73" s="205">
        <v>0</v>
      </c>
      <c r="K73" s="205">
        <v>0</v>
      </c>
      <c r="L73" s="205">
        <v>0</v>
      </c>
      <c r="M73" s="205">
        <v>0</v>
      </c>
      <c r="N73" s="205">
        <v>0</v>
      </c>
      <c r="O73" s="205">
        <v>0</v>
      </c>
      <c r="P73" s="205">
        <v>0</v>
      </c>
      <c r="Q73" s="205">
        <v>0</v>
      </c>
      <c r="R73" s="205">
        <v>0</v>
      </c>
      <c r="S73" s="205">
        <v>0</v>
      </c>
      <c r="T73" s="205">
        <v>0</v>
      </c>
      <c r="U73" s="205">
        <v>0</v>
      </c>
      <c r="V73" s="205">
        <v>0</v>
      </c>
      <c r="W73" s="205">
        <v>0</v>
      </c>
      <c r="X73" s="205">
        <v>0</v>
      </c>
      <c r="Y73" s="205">
        <v>0</v>
      </c>
      <c r="Z73" s="205">
        <v>0</v>
      </c>
    </row>
    <row r="74" spans="1:26" ht="12.75" hidden="1" customHeight="1">
      <c r="A74" s="107" t="str">
        <f t="shared" si="5"/>
        <v>Продукт 12</v>
      </c>
      <c r="B74" s="233" t="str">
        <f t="shared" si="4"/>
        <v>за 1 шт.</v>
      </c>
      <c r="C74" s="205">
        <v>0</v>
      </c>
      <c r="D74" s="205">
        <v>0</v>
      </c>
      <c r="E74" s="205">
        <v>0</v>
      </c>
      <c r="F74" s="205">
        <v>0</v>
      </c>
      <c r="G74" s="205">
        <v>0</v>
      </c>
      <c r="H74" s="205">
        <v>0</v>
      </c>
      <c r="I74" s="205">
        <v>0</v>
      </c>
      <c r="J74" s="205">
        <v>0</v>
      </c>
      <c r="K74" s="205">
        <v>0</v>
      </c>
      <c r="L74" s="205">
        <v>0</v>
      </c>
      <c r="M74" s="205">
        <v>0</v>
      </c>
      <c r="N74" s="205">
        <v>0</v>
      </c>
      <c r="O74" s="205">
        <v>0</v>
      </c>
      <c r="P74" s="205">
        <v>0</v>
      </c>
      <c r="Q74" s="205">
        <v>0</v>
      </c>
      <c r="R74" s="205">
        <v>0</v>
      </c>
      <c r="S74" s="205">
        <v>0</v>
      </c>
      <c r="T74" s="205">
        <v>0</v>
      </c>
      <c r="U74" s="205">
        <v>0</v>
      </c>
      <c r="V74" s="205">
        <v>0</v>
      </c>
      <c r="W74" s="205">
        <v>0</v>
      </c>
      <c r="X74" s="205">
        <v>0</v>
      </c>
      <c r="Y74" s="205">
        <v>0</v>
      </c>
      <c r="Z74" s="205">
        <v>0</v>
      </c>
    </row>
    <row r="75" spans="1:26" ht="12.75" hidden="1" customHeight="1">
      <c r="A75" s="107" t="str">
        <f t="shared" si="5"/>
        <v>Продукт 13</v>
      </c>
      <c r="B75" s="233" t="str">
        <f t="shared" si="4"/>
        <v>за 1 шт.</v>
      </c>
      <c r="C75" s="205">
        <v>0</v>
      </c>
      <c r="D75" s="205">
        <v>0</v>
      </c>
      <c r="E75" s="205">
        <v>0</v>
      </c>
      <c r="F75" s="205">
        <v>0</v>
      </c>
      <c r="G75" s="205">
        <v>0</v>
      </c>
      <c r="H75" s="205">
        <v>0</v>
      </c>
      <c r="I75" s="205">
        <v>0</v>
      </c>
      <c r="J75" s="205">
        <v>0</v>
      </c>
      <c r="K75" s="205">
        <v>0</v>
      </c>
      <c r="L75" s="205">
        <v>0</v>
      </c>
      <c r="M75" s="205">
        <v>0</v>
      </c>
      <c r="N75" s="205">
        <v>0</v>
      </c>
      <c r="O75" s="205">
        <v>0</v>
      </c>
      <c r="P75" s="205">
        <v>0</v>
      </c>
      <c r="Q75" s="205">
        <v>0</v>
      </c>
      <c r="R75" s="205">
        <v>0</v>
      </c>
      <c r="S75" s="205">
        <v>0</v>
      </c>
      <c r="T75" s="205">
        <v>0</v>
      </c>
      <c r="U75" s="205">
        <v>0</v>
      </c>
      <c r="V75" s="205">
        <v>0</v>
      </c>
      <c r="W75" s="205">
        <v>0</v>
      </c>
      <c r="X75" s="205">
        <v>0</v>
      </c>
      <c r="Y75" s="205">
        <v>0</v>
      </c>
      <c r="Z75" s="205">
        <v>0</v>
      </c>
    </row>
    <row r="76" spans="1:26" ht="12.75" hidden="1" customHeight="1">
      <c r="A76" s="107" t="str">
        <f t="shared" si="5"/>
        <v>Продукт 14</v>
      </c>
      <c r="B76" s="233" t="str">
        <f t="shared" si="4"/>
        <v>за 1 шт.</v>
      </c>
      <c r="C76" s="205">
        <v>0</v>
      </c>
      <c r="D76" s="205">
        <v>0</v>
      </c>
      <c r="E76" s="205">
        <v>0</v>
      </c>
      <c r="F76" s="205">
        <v>0</v>
      </c>
      <c r="G76" s="205">
        <v>0</v>
      </c>
      <c r="H76" s="205">
        <v>0</v>
      </c>
      <c r="I76" s="205">
        <v>0</v>
      </c>
      <c r="J76" s="205">
        <v>0</v>
      </c>
      <c r="K76" s="205">
        <v>0</v>
      </c>
      <c r="L76" s="205">
        <v>0</v>
      </c>
      <c r="M76" s="205">
        <v>0</v>
      </c>
      <c r="N76" s="205">
        <v>0</v>
      </c>
      <c r="O76" s="205">
        <v>0</v>
      </c>
      <c r="P76" s="205">
        <v>0</v>
      </c>
      <c r="Q76" s="205">
        <v>0</v>
      </c>
      <c r="R76" s="205">
        <v>0</v>
      </c>
      <c r="S76" s="205">
        <v>0</v>
      </c>
      <c r="T76" s="205">
        <v>0</v>
      </c>
      <c r="U76" s="205">
        <v>0</v>
      </c>
      <c r="V76" s="205">
        <v>0</v>
      </c>
      <c r="W76" s="205">
        <v>0</v>
      </c>
      <c r="X76" s="205">
        <v>0</v>
      </c>
      <c r="Y76" s="205">
        <v>0</v>
      </c>
      <c r="Z76" s="205">
        <v>0</v>
      </c>
    </row>
    <row r="77" spans="1:26" ht="12.75" hidden="1" customHeight="1">
      <c r="A77" s="107" t="str">
        <f t="shared" si="5"/>
        <v>Продукт 15</v>
      </c>
      <c r="B77" s="233" t="str">
        <f t="shared" si="4"/>
        <v>за 1 шт.</v>
      </c>
      <c r="C77" s="205">
        <v>0</v>
      </c>
      <c r="D77" s="205">
        <v>0</v>
      </c>
      <c r="E77" s="205">
        <v>0</v>
      </c>
      <c r="F77" s="205">
        <v>0</v>
      </c>
      <c r="G77" s="205">
        <v>0</v>
      </c>
      <c r="H77" s="205">
        <v>0</v>
      </c>
      <c r="I77" s="205">
        <v>0</v>
      </c>
      <c r="J77" s="205">
        <v>0</v>
      </c>
      <c r="K77" s="205">
        <v>0</v>
      </c>
      <c r="L77" s="205">
        <v>0</v>
      </c>
      <c r="M77" s="205">
        <v>0</v>
      </c>
      <c r="N77" s="205">
        <v>0</v>
      </c>
      <c r="O77" s="205">
        <v>0</v>
      </c>
      <c r="P77" s="205">
        <v>0</v>
      </c>
      <c r="Q77" s="205">
        <v>0</v>
      </c>
      <c r="R77" s="205">
        <v>0</v>
      </c>
      <c r="S77" s="205">
        <v>0</v>
      </c>
      <c r="T77" s="205">
        <v>0</v>
      </c>
      <c r="U77" s="205">
        <v>0</v>
      </c>
      <c r="V77" s="205">
        <v>0</v>
      </c>
      <c r="W77" s="205">
        <v>0</v>
      </c>
      <c r="X77" s="205">
        <v>0</v>
      </c>
      <c r="Y77" s="205">
        <v>0</v>
      </c>
      <c r="Z77" s="205">
        <v>0</v>
      </c>
    </row>
    <row r="78" spans="1:26" ht="12.75" hidden="1" customHeight="1">
      <c r="A78" s="107" t="str">
        <f t="shared" si="5"/>
        <v>Продукт 16</v>
      </c>
      <c r="B78" s="233" t="str">
        <f t="shared" si="4"/>
        <v>за 1 шт.</v>
      </c>
      <c r="C78" s="205">
        <v>0</v>
      </c>
      <c r="D78" s="205">
        <v>0</v>
      </c>
      <c r="E78" s="205">
        <v>0</v>
      </c>
      <c r="F78" s="205">
        <v>0</v>
      </c>
      <c r="G78" s="205">
        <v>0</v>
      </c>
      <c r="H78" s="205">
        <v>0</v>
      </c>
      <c r="I78" s="205">
        <v>0</v>
      </c>
      <c r="J78" s="205">
        <v>0</v>
      </c>
      <c r="K78" s="205">
        <v>0</v>
      </c>
      <c r="L78" s="205">
        <v>0</v>
      </c>
      <c r="M78" s="205">
        <v>0</v>
      </c>
      <c r="N78" s="205">
        <v>0</v>
      </c>
      <c r="O78" s="205">
        <v>0</v>
      </c>
      <c r="P78" s="205">
        <v>0</v>
      </c>
      <c r="Q78" s="205">
        <v>0</v>
      </c>
      <c r="R78" s="205">
        <v>0</v>
      </c>
      <c r="S78" s="205">
        <v>0</v>
      </c>
      <c r="T78" s="205">
        <v>0</v>
      </c>
      <c r="U78" s="205">
        <v>0</v>
      </c>
      <c r="V78" s="205">
        <v>0</v>
      </c>
      <c r="W78" s="205">
        <v>0</v>
      </c>
      <c r="X78" s="205">
        <v>0</v>
      </c>
      <c r="Y78" s="205">
        <v>0</v>
      </c>
      <c r="Z78" s="205">
        <v>0</v>
      </c>
    </row>
    <row r="79" spans="1:26" ht="12.75" hidden="1" customHeight="1">
      <c r="A79" s="107" t="str">
        <f t="shared" si="5"/>
        <v>Продукт 17</v>
      </c>
      <c r="B79" s="233" t="str">
        <f t="shared" si="4"/>
        <v>за 1 шт.</v>
      </c>
      <c r="C79" s="205">
        <v>0</v>
      </c>
      <c r="D79" s="205">
        <v>0</v>
      </c>
      <c r="E79" s="205">
        <v>0</v>
      </c>
      <c r="F79" s="205">
        <v>0</v>
      </c>
      <c r="G79" s="205">
        <v>0</v>
      </c>
      <c r="H79" s="205">
        <v>0</v>
      </c>
      <c r="I79" s="205">
        <v>0</v>
      </c>
      <c r="J79" s="205">
        <v>0</v>
      </c>
      <c r="K79" s="205">
        <v>0</v>
      </c>
      <c r="L79" s="205">
        <v>0</v>
      </c>
      <c r="M79" s="205">
        <v>0</v>
      </c>
      <c r="N79" s="205">
        <v>0</v>
      </c>
      <c r="O79" s="205">
        <v>0</v>
      </c>
      <c r="P79" s="205">
        <v>0</v>
      </c>
      <c r="Q79" s="205">
        <v>0</v>
      </c>
      <c r="R79" s="205">
        <v>0</v>
      </c>
      <c r="S79" s="205">
        <v>0</v>
      </c>
      <c r="T79" s="205">
        <v>0</v>
      </c>
      <c r="U79" s="205">
        <v>0</v>
      </c>
      <c r="V79" s="205">
        <v>0</v>
      </c>
      <c r="W79" s="205">
        <v>0</v>
      </c>
      <c r="X79" s="205">
        <v>0</v>
      </c>
      <c r="Y79" s="205">
        <v>0</v>
      </c>
      <c r="Z79" s="205">
        <v>0</v>
      </c>
    </row>
    <row r="80" spans="1:26" ht="12.75" hidden="1" customHeight="1">
      <c r="A80" s="107" t="str">
        <f t="shared" si="5"/>
        <v>Продукт 18</v>
      </c>
      <c r="B80" s="233" t="str">
        <f t="shared" si="4"/>
        <v>за 1 шт.</v>
      </c>
      <c r="C80" s="205">
        <v>0</v>
      </c>
      <c r="D80" s="205">
        <v>0</v>
      </c>
      <c r="E80" s="205">
        <v>0</v>
      </c>
      <c r="F80" s="205">
        <v>0</v>
      </c>
      <c r="G80" s="205">
        <v>0</v>
      </c>
      <c r="H80" s="205">
        <v>0</v>
      </c>
      <c r="I80" s="205">
        <v>0</v>
      </c>
      <c r="J80" s="205">
        <v>0</v>
      </c>
      <c r="K80" s="205">
        <v>0</v>
      </c>
      <c r="L80" s="205">
        <v>0</v>
      </c>
      <c r="M80" s="205">
        <v>0</v>
      </c>
      <c r="N80" s="205">
        <v>0</v>
      </c>
      <c r="O80" s="205">
        <v>0</v>
      </c>
      <c r="P80" s="205">
        <v>0</v>
      </c>
      <c r="Q80" s="205">
        <v>0</v>
      </c>
      <c r="R80" s="205">
        <v>0</v>
      </c>
      <c r="S80" s="205">
        <v>0</v>
      </c>
      <c r="T80" s="205">
        <v>0</v>
      </c>
      <c r="U80" s="205">
        <v>0</v>
      </c>
      <c r="V80" s="205">
        <v>0</v>
      </c>
      <c r="W80" s="205">
        <v>0</v>
      </c>
      <c r="X80" s="205">
        <v>0</v>
      </c>
      <c r="Y80" s="205">
        <v>0</v>
      </c>
      <c r="Z80" s="205">
        <v>0</v>
      </c>
    </row>
    <row r="81" spans="1:26" ht="12.75" hidden="1" customHeight="1">
      <c r="A81" s="107" t="str">
        <f t="shared" si="5"/>
        <v>Продукт 19</v>
      </c>
      <c r="B81" s="233" t="str">
        <f t="shared" si="4"/>
        <v>за 1 шт.</v>
      </c>
      <c r="C81" s="205">
        <v>0</v>
      </c>
      <c r="D81" s="205">
        <v>0</v>
      </c>
      <c r="E81" s="205">
        <v>0</v>
      </c>
      <c r="F81" s="205">
        <v>0</v>
      </c>
      <c r="G81" s="205">
        <v>0</v>
      </c>
      <c r="H81" s="205">
        <v>0</v>
      </c>
      <c r="I81" s="205">
        <v>0</v>
      </c>
      <c r="J81" s="205">
        <v>0</v>
      </c>
      <c r="K81" s="205">
        <v>0</v>
      </c>
      <c r="L81" s="205">
        <v>0</v>
      </c>
      <c r="M81" s="205">
        <v>0</v>
      </c>
      <c r="N81" s="205">
        <v>0</v>
      </c>
      <c r="O81" s="205">
        <v>0</v>
      </c>
      <c r="P81" s="205">
        <v>0</v>
      </c>
      <c r="Q81" s="205">
        <v>0</v>
      </c>
      <c r="R81" s="205">
        <v>0</v>
      </c>
      <c r="S81" s="205">
        <v>0</v>
      </c>
      <c r="T81" s="205">
        <v>0</v>
      </c>
      <c r="U81" s="205">
        <v>0</v>
      </c>
      <c r="V81" s="205">
        <v>0</v>
      </c>
      <c r="W81" s="205">
        <v>0</v>
      </c>
      <c r="X81" s="205">
        <v>0</v>
      </c>
      <c r="Y81" s="205">
        <v>0</v>
      </c>
      <c r="Z81" s="205">
        <v>0</v>
      </c>
    </row>
    <row r="82" spans="1:26" ht="12.75" hidden="1" customHeight="1">
      <c r="A82" s="107" t="str">
        <f t="shared" si="5"/>
        <v>Продукт 20</v>
      </c>
      <c r="B82" s="233" t="str">
        <f t="shared" si="4"/>
        <v>за 1 шт.</v>
      </c>
      <c r="C82" s="205">
        <v>0</v>
      </c>
      <c r="D82" s="205">
        <v>0</v>
      </c>
      <c r="E82" s="205">
        <v>0</v>
      </c>
      <c r="F82" s="205">
        <v>0</v>
      </c>
      <c r="G82" s="205">
        <v>0</v>
      </c>
      <c r="H82" s="205">
        <v>0</v>
      </c>
      <c r="I82" s="205">
        <v>0</v>
      </c>
      <c r="J82" s="205">
        <v>0</v>
      </c>
      <c r="K82" s="205">
        <v>0</v>
      </c>
      <c r="L82" s="205">
        <v>0</v>
      </c>
      <c r="M82" s="205">
        <v>0</v>
      </c>
      <c r="N82" s="205">
        <v>0</v>
      </c>
      <c r="O82" s="205">
        <v>0</v>
      </c>
      <c r="P82" s="205">
        <v>0</v>
      </c>
      <c r="Q82" s="205">
        <v>0</v>
      </c>
      <c r="R82" s="205">
        <v>0</v>
      </c>
      <c r="S82" s="205">
        <v>0</v>
      </c>
      <c r="T82" s="205">
        <v>0</v>
      </c>
      <c r="U82" s="205">
        <v>0</v>
      </c>
      <c r="V82" s="205">
        <v>0</v>
      </c>
      <c r="W82" s="205">
        <v>0</v>
      </c>
      <c r="X82" s="205">
        <v>0</v>
      </c>
      <c r="Y82" s="205">
        <v>0</v>
      </c>
      <c r="Z82" s="205">
        <v>0</v>
      </c>
    </row>
    <row r="83" spans="1:26" ht="12.75" customHeight="1" thickBot="1">
      <c r="A83" s="107"/>
      <c r="B83" s="124"/>
      <c r="C83" s="131"/>
      <c r="D83" s="131"/>
      <c r="E83" s="131"/>
      <c r="F83" s="131"/>
      <c r="G83" s="131"/>
      <c r="H83" s="131"/>
      <c r="I83" s="131"/>
      <c r="J83" s="131"/>
      <c r="K83" s="131"/>
      <c r="L83" s="131"/>
      <c r="M83" s="131"/>
      <c r="N83" s="131"/>
    </row>
    <row r="84" spans="1:26" ht="12.75" customHeight="1" thickBot="1">
      <c r="A84" s="132" t="s">
        <v>212</v>
      </c>
      <c r="B84" s="133" t="s">
        <v>8</v>
      </c>
      <c r="C84" s="190" t="str">
        <f t="shared" ref="C84:N84" si="6">C40</f>
        <v>1/2027</v>
      </c>
      <c r="D84" s="134" t="str">
        <f t="shared" si="6"/>
        <v>2/2027</v>
      </c>
      <c r="E84" s="134" t="str">
        <f t="shared" si="6"/>
        <v>3/2027</v>
      </c>
      <c r="F84" s="134" t="str">
        <f t="shared" si="6"/>
        <v>4/2027</v>
      </c>
      <c r="G84" s="134" t="str">
        <f t="shared" si="6"/>
        <v>5/2027</v>
      </c>
      <c r="H84" s="134" t="str">
        <f t="shared" si="6"/>
        <v>6/2027</v>
      </c>
      <c r="I84" s="134" t="str">
        <f t="shared" si="6"/>
        <v>7/2027</v>
      </c>
      <c r="J84" s="134" t="str">
        <f t="shared" si="6"/>
        <v>8/2027</v>
      </c>
      <c r="K84" s="134" t="str">
        <f t="shared" si="6"/>
        <v>9/2027</v>
      </c>
      <c r="L84" s="134" t="str">
        <f t="shared" si="6"/>
        <v>10/2027</v>
      </c>
      <c r="M84" s="134" t="str">
        <f t="shared" si="6"/>
        <v>11/2027</v>
      </c>
      <c r="N84" s="134" t="str">
        <f t="shared" si="6"/>
        <v>12/2027</v>
      </c>
      <c r="O84" s="134" t="str">
        <f t="shared" ref="O84:Z84" si="7">O40</f>
        <v>1/2028</v>
      </c>
      <c r="P84" s="134" t="str">
        <f t="shared" si="7"/>
        <v>2/2028</v>
      </c>
      <c r="Q84" s="134" t="str">
        <f t="shared" si="7"/>
        <v>3/2028</v>
      </c>
      <c r="R84" s="134" t="str">
        <f t="shared" si="7"/>
        <v>4/2028</v>
      </c>
      <c r="S84" s="134" t="str">
        <f t="shared" si="7"/>
        <v>5/2028</v>
      </c>
      <c r="T84" s="134" t="str">
        <f t="shared" si="7"/>
        <v>6/2028</v>
      </c>
      <c r="U84" s="134" t="str">
        <f t="shared" si="7"/>
        <v>7/2028</v>
      </c>
      <c r="V84" s="134" t="str">
        <f t="shared" si="7"/>
        <v>8/2028</v>
      </c>
      <c r="W84" s="134" t="str">
        <f t="shared" si="7"/>
        <v>9/2028</v>
      </c>
      <c r="X84" s="134" t="str">
        <f t="shared" si="7"/>
        <v>10/2028</v>
      </c>
      <c r="Y84" s="134" t="str">
        <f t="shared" si="7"/>
        <v>11/2028</v>
      </c>
      <c r="Z84" s="135" t="str">
        <f t="shared" si="7"/>
        <v>12/2028</v>
      </c>
    </row>
    <row r="85" spans="1:26" ht="12.75" customHeight="1">
      <c r="A85" s="107" t="str">
        <f>A13</f>
        <v>товар1</v>
      </c>
      <c r="B85" s="233" t="str">
        <f>"за 1 " &amp; B13</f>
        <v>за 1 шт.</v>
      </c>
      <c r="C85" s="204">
        <v>0</v>
      </c>
      <c r="D85" s="204">
        <v>0</v>
      </c>
      <c r="E85" s="204">
        <v>0</v>
      </c>
      <c r="F85" s="204">
        <v>0</v>
      </c>
      <c r="G85" s="204">
        <v>0</v>
      </c>
      <c r="H85" s="204">
        <v>0</v>
      </c>
      <c r="I85" s="204">
        <v>0</v>
      </c>
      <c r="J85" s="204">
        <v>0</v>
      </c>
      <c r="K85" s="204">
        <v>0</v>
      </c>
      <c r="L85" s="204">
        <v>0</v>
      </c>
      <c r="M85" s="204">
        <v>0</v>
      </c>
      <c r="N85" s="354">
        <v>0</v>
      </c>
      <c r="O85" s="204">
        <v>0</v>
      </c>
      <c r="P85" s="204">
        <v>0</v>
      </c>
      <c r="Q85" s="204">
        <v>0</v>
      </c>
      <c r="R85" s="204">
        <v>0</v>
      </c>
      <c r="S85" s="204">
        <v>0</v>
      </c>
      <c r="T85" s="204">
        <v>0</v>
      </c>
      <c r="U85" s="204">
        <v>0</v>
      </c>
      <c r="V85" s="204">
        <v>0</v>
      </c>
      <c r="W85" s="204">
        <v>0</v>
      </c>
      <c r="X85" s="204">
        <v>0</v>
      </c>
      <c r="Y85" s="204">
        <v>0</v>
      </c>
      <c r="Z85" s="204">
        <v>0</v>
      </c>
    </row>
    <row r="86" spans="1:26" ht="12.75" hidden="1" customHeight="1">
      <c r="A86" s="107" t="str">
        <f>A14</f>
        <v>косметика</v>
      </c>
      <c r="B86" s="233" t="str">
        <f t="shared" ref="B86:B104" si="8">"за 1 " &amp; B14</f>
        <v>за 1 шт.</v>
      </c>
      <c r="C86" s="205">
        <v>0</v>
      </c>
      <c r="D86" s="205">
        <v>0</v>
      </c>
      <c r="E86" s="205">
        <v>0</v>
      </c>
      <c r="F86" s="205">
        <v>0</v>
      </c>
      <c r="G86" s="205">
        <v>0</v>
      </c>
      <c r="H86" s="205">
        <v>0</v>
      </c>
      <c r="I86" s="205">
        <v>0</v>
      </c>
      <c r="J86" s="205">
        <v>0</v>
      </c>
      <c r="K86" s="205">
        <v>0</v>
      </c>
      <c r="L86" s="205">
        <v>0</v>
      </c>
      <c r="M86" s="205">
        <v>0</v>
      </c>
      <c r="N86" s="355">
        <v>0</v>
      </c>
      <c r="O86" s="205">
        <v>0</v>
      </c>
      <c r="P86" s="205">
        <v>0</v>
      </c>
      <c r="Q86" s="205">
        <v>0</v>
      </c>
      <c r="R86" s="205">
        <v>0</v>
      </c>
      <c r="S86" s="205">
        <v>0</v>
      </c>
      <c r="T86" s="205">
        <v>0</v>
      </c>
      <c r="U86" s="205">
        <v>0</v>
      </c>
      <c r="V86" s="205">
        <v>0</v>
      </c>
      <c r="W86" s="205">
        <v>0</v>
      </c>
      <c r="X86" s="205">
        <v>0</v>
      </c>
      <c r="Y86" s="205">
        <v>0</v>
      </c>
      <c r="Z86" s="205">
        <v>0</v>
      </c>
    </row>
    <row r="87" spans="1:26" ht="12.75" hidden="1" customHeight="1">
      <c r="A87" s="107" t="str">
        <f>A15</f>
        <v>товары для дома</v>
      </c>
      <c r="B87" s="233" t="str">
        <f t="shared" si="8"/>
        <v>за 1 шт.</v>
      </c>
      <c r="C87" s="205">
        <v>0</v>
      </c>
      <c r="D87" s="205">
        <v>0</v>
      </c>
      <c r="E87" s="205">
        <v>0</v>
      </c>
      <c r="F87" s="205">
        <v>0</v>
      </c>
      <c r="G87" s="205">
        <v>0</v>
      </c>
      <c r="H87" s="205">
        <v>0</v>
      </c>
      <c r="I87" s="205">
        <v>0</v>
      </c>
      <c r="J87" s="205">
        <v>0</v>
      </c>
      <c r="K87" s="205">
        <v>0</v>
      </c>
      <c r="L87" s="205">
        <v>0</v>
      </c>
      <c r="M87" s="205">
        <v>0</v>
      </c>
      <c r="N87" s="355">
        <v>0</v>
      </c>
      <c r="O87" s="205">
        <v>0</v>
      </c>
      <c r="P87" s="205">
        <v>0</v>
      </c>
      <c r="Q87" s="205">
        <v>0</v>
      </c>
      <c r="R87" s="205">
        <v>0</v>
      </c>
      <c r="S87" s="205">
        <v>0</v>
      </c>
      <c r="T87" s="205">
        <v>0</v>
      </c>
      <c r="U87" s="205">
        <v>0</v>
      </c>
      <c r="V87" s="205">
        <v>0</v>
      </c>
      <c r="W87" s="205">
        <v>0</v>
      </c>
      <c r="X87" s="205">
        <v>0</v>
      </c>
      <c r="Y87" s="205">
        <v>0</v>
      </c>
      <c r="Z87" s="205">
        <v>0</v>
      </c>
    </row>
    <row r="88" spans="1:26" ht="12.75" hidden="1" customHeight="1">
      <c r="A88" s="107" t="str">
        <f>A16</f>
        <v>Продукт 4</v>
      </c>
      <c r="B88" s="233" t="str">
        <f t="shared" si="8"/>
        <v>за 1 шт.</v>
      </c>
      <c r="C88" s="205">
        <v>0</v>
      </c>
      <c r="D88" s="205">
        <v>0</v>
      </c>
      <c r="E88" s="205">
        <v>0</v>
      </c>
      <c r="F88" s="205">
        <v>0</v>
      </c>
      <c r="G88" s="205">
        <v>0</v>
      </c>
      <c r="H88" s="205">
        <v>0</v>
      </c>
      <c r="I88" s="205">
        <v>0</v>
      </c>
      <c r="J88" s="205">
        <v>0</v>
      </c>
      <c r="K88" s="205">
        <v>0</v>
      </c>
      <c r="L88" s="205">
        <v>0</v>
      </c>
      <c r="M88" s="205">
        <v>0</v>
      </c>
      <c r="N88" s="205">
        <v>0</v>
      </c>
      <c r="O88" s="205">
        <v>0</v>
      </c>
      <c r="P88" s="205">
        <v>0</v>
      </c>
      <c r="Q88" s="205">
        <v>0</v>
      </c>
      <c r="R88" s="205">
        <v>0</v>
      </c>
      <c r="S88" s="205">
        <v>0</v>
      </c>
      <c r="T88" s="205">
        <v>0</v>
      </c>
      <c r="U88" s="205">
        <v>0</v>
      </c>
      <c r="V88" s="205">
        <v>0</v>
      </c>
      <c r="W88" s="205">
        <v>0</v>
      </c>
      <c r="X88" s="205">
        <v>0</v>
      </c>
      <c r="Y88" s="205">
        <v>0</v>
      </c>
      <c r="Z88" s="205">
        <v>0</v>
      </c>
    </row>
    <row r="89" spans="1:26" ht="12.75" hidden="1" customHeight="1">
      <c r="A89" s="107" t="str">
        <f t="shared" ref="A89:A104" si="9">A17</f>
        <v>Продукт 5</v>
      </c>
      <c r="B89" s="233" t="str">
        <f t="shared" si="8"/>
        <v>за 1 шт.</v>
      </c>
      <c r="C89" s="205">
        <v>0</v>
      </c>
      <c r="D89" s="205">
        <v>0</v>
      </c>
      <c r="E89" s="205">
        <v>0</v>
      </c>
      <c r="F89" s="205">
        <v>0</v>
      </c>
      <c r="G89" s="205">
        <v>0</v>
      </c>
      <c r="H89" s="205">
        <v>0</v>
      </c>
      <c r="I89" s="205">
        <v>0</v>
      </c>
      <c r="J89" s="205">
        <v>0</v>
      </c>
      <c r="K89" s="205">
        <v>0</v>
      </c>
      <c r="L89" s="205">
        <v>0</v>
      </c>
      <c r="M89" s="205">
        <v>0</v>
      </c>
      <c r="N89" s="205">
        <v>0</v>
      </c>
      <c r="O89" s="205">
        <v>0</v>
      </c>
      <c r="P89" s="205">
        <v>0</v>
      </c>
      <c r="Q89" s="205">
        <v>0</v>
      </c>
      <c r="R89" s="205">
        <v>0</v>
      </c>
      <c r="S89" s="205">
        <v>0</v>
      </c>
      <c r="T89" s="205">
        <v>0</v>
      </c>
      <c r="U89" s="205">
        <v>0</v>
      </c>
      <c r="V89" s="205">
        <v>0</v>
      </c>
      <c r="W89" s="205">
        <v>0</v>
      </c>
      <c r="X89" s="205">
        <v>0</v>
      </c>
      <c r="Y89" s="205">
        <v>0</v>
      </c>
      <c r="Z89" s="205">
        <v>0</v>
      </c>
    </row>
    <row r="90" spans="1:26" ht="12.75" hidden="1" customHeight="1">
      <c r="A90" s="107" t="str">
        <f t="shared" si="9"/>
        <v>Продукт 6</v>
      </c>
      <c r="B90" s="233" t="str">
        <f t="shared" si="8"/>
        <v>за 1 шт.</v>
      </c>
      <c r="C90" s="205">
        <v>0</v>
      </c>
      <c r="D90" s="205">
        <v>0</v>
      </c>
      <c r="E90" s="205">
        <v>0</v>
      </c>
      <c r="F90" s="205">
        <v>0</v>
      </c>
      <c r="G90" s="205">
        <v>0</v>
      </c>
      <c r="H90" s="205">
        <v>0</v>
      </c>
      <c r="I90" s="205">
        <v>0</v>
      </c>
      <c r="J90" s="205">
        <v>0</v>
      </c>
      <c r="K90" s="205">
        <v>0</v>
      </c>
      <c r="L90" s="205">
        <v>0</v>
      </c>
      <c r="M90" s="205">
        <v>0</v>
      </c>
      <c r="N90" s="205">
        <v>0</v>
      </c>
      <c r="O90" s="205">
        <v>0</v>
      </c>
      <c r="P90" s="205">
        <v>0</v>
      </c>
      <c r="Q90" s="205">
        <v>0</v>
      </c>
      <c r="R90" s="205">
        <v>0</v>
      </c>
      <c r="S90" s="205">
        <v>0</v>
      </c>
      <c r="T90" s="205">
        <v>0</v>
      </c>
      <c r="U90" s="205">
        <v>0</v>
      </c>
      <c r="V90" s="205">
        <v>0</v>
      </c>
      <c r="W90" s="205">
        <v>0</v>
      </c>
      <c r="X90" s="205">
        <v>0</v>
      </c>
      <c r="Y90" s="205">
        <v>0</v>
      </c>
      <c r="Z90" s="205">
        <v>0</v>
      </c>
    </row>
    <row r="91" spans="1:26" ht="12.75" hidden="1" customHeight="1">
      <c r="A91" s="107" t="str">
        <f t="shared" si="9"/>
        <v>Продукт 7</v>
      </c>
      <c r="B91" s="233" t="str">
        <f t="shared" si="8"/>
        <v>за 1 шт.</v>
      </c>
      <c r="C91" s="205">
        <v>0</v>
      </c>
      <c r="D91" s="205">
        <v>0</v>
      </c>
      <c r="E91" s="205">
        <v>0</v>
      </c>
      <c r="F91" s="205">
        <v>0</v>
      </c>
      <c r="G91" s="205">
        <v>0</v>
      </c>
      <c r="H91" s="205">
        <v>0</v>
      </c>
      <c r="I91" s="205">
        <v>0</v>
      </c>
      <c r="J91" s="205">
        <v>0</v>
      </c>
      <c r="K91" s="205">
        <v>0</v>
      </c>
      <c r="L91" s="205">
        <v>0</v>
      </c>
      <c r="M91" s="205">
        <v>0</v>
      </c>
      <c r="N91" s="205">
        <v>0</v>
      </c>
      <c r="O91" s="205">
        <v>0</v>
      </c>
      <c r="P91" s="205">
        <v>0</v>
      </c>
      <c r="Q91" s="205">
        <v>0</v>
      </c>
      <c r="R91" s="205">
        <v>0</v>
      </c>
      <c r="S91" s="205">
        <v>0</v>
      </c>
      <c r="T91" s="205">
        <v>0</v>
      </c>
      <c r="U91" s="205">
        <v>0</v>
      </c>
      <c r="V91" s="205">
        <v>0</v>
      </c>
      <c r="W91" s="205">
        <v>0</v>
      </c>
      <c r="X91" s="205">
        <v>0</v>
      </c>
      <c r="Y91" s="205">
        <v>0</v>
      </c>
      <c r="Z91" s="205">
        <v>0</v>
      </c>
    </row>
    <row r="92" spans="1:26" ht="12.75" hidden="1" customHeight="1">
      <c r="A92" s="107" t="str">
        <f t="shared" si="9"/>
        <v>Продукт 8</v>
      </c>
      <c r="B92" s="233" t="str">
        <f t="shared" si="8"/>
        <v>за 1 шт.</v>
      </c>
      <c r="C92" s="205">
        <v>0</v>
      </c>
      <c r="D92" s="205">
        <v>0</v>
      </c>
      <c r="E92" s="205">
        <v>0</v>
      </c>
      <c r="F92" s="205">
        <v>0</v>
      </c>
      <c r="G92" s="205">
        <v>0</v>
      </c>
      <c r="H92" s="205">
        <v>0</v>
      </c>
      <c r="I92" s="205">
        <v>0</v>
      </c>
      <c r="J92" s="205">
        <v>0</v>
      </c>
      <c r="K92" s="205">
        <v>0</v>
      </c>
      <c r="L92" s="205">
        <v>0</v>
      </c>
      <c r="M92" s="205">
        <v>0</v>
      </c>
      <c r="N92" s="205">
        <v>0</v>
      </c>
      <c r="O92" s="205">
        <v>0</v>
      </c>
      <c r="P92" s="205">
        <v>0</v>
      </c>
      <c r="Q92" s="205">
        <v>0</v>
      </c>
      <c r="R92" s="205">
        <v>0</v>
      </c>
      <c r="S92" s="205">
        <v>0</v>
      </c>
      <c r="T92" s="205">
        <v>0</v>
      </c>
      <c r="U92" s="205">
        <v>0</v>
      </c>
      <c r="V92" s="205">
        <v>0</v>
      </c>
      <c r="W92" s="205">
        <v>0</v>
      </c>
      <c r="X92" s="205">
        <v>0</v>
      </c>
      <c r="Y92" s="205">
        <v>0</v>
      </c>
      <c r="Z92" s="205">
        <v>0</v>
      </c>
    </row>
    <row r="93" spans="1:26" ht="12.75" hidden="1" customHeight="1">
      <c r="A93" s="107" t="str">
        <f t="shared" si="9"/>
        <v>Продукт 9</v>
      </c>
      <c r="B93" s="233" t="str">
        <f t="shared" si="8"/>
        <v>за 1 шт.</v>
      </c>
      <c r="C93" s="205">
        <v>0</v>
      </c>
      <c r="D93" s="205">
        <v>0</v>
      </c>
      <c r="E93" s="205">
        <v>0</v>
      </c>
      <c r="F93" s="205">
        <v>0</v>
      </c>
      <c r="G93" s="205">
        <v>0</v>
      </c>
      <c r="H93" s="205">
        <v>0</v>
      </c>
      <c r="I93" s="205">
        <v>0</v>
      </c>
      <c r="J93" s="205">
        <v>0</v>
      </c>
      <c r="K93" s="205">
        <v>0</v>
      </c>
      <c r="L93" s="205">
        <v>0</v>
      </c>
      <c r="M93" s="205">
        <v>0</v>
      </c>
      <c r="N93" s="205">
        <v>0</v>
      </c>
      <c r="O93" s="205">
        <v>0</v>
      </c>
      <c r="P93" s="205">
        <v>0</v>
      </c>
      <c r="Q93" s="205">
        <v>0</v>
      </c>
      <c r="R93" s="205">
        <v>0</v>
      </c>
      <c r="S93" s="205">
        <v>0</v>
      </c>
      <c r="T93" s="205">
        <v>0</v>
      </c>
      <c r="U93" s="205">
        <v>0</v>
      </c>
      <c r="V93" s="205">
        <v>0</v>
      </c>
      <c r="W93" s="205">
        <v>0</v>
      </c>
      <c r="X93" s="205">
        <v>0</v>
      </c>
      <c r="Y93" s="205">
        <v>0</v>
      </c>
      <c r="Z93" s="205">
        <v>0</v>
      </c>
    </row>
    <row r="94" spans="1:26" ht="12.75" hidden="1" customHeight="1">
      <c r="A94" s="107" t="str">
        <f t="shared" si="9"/>
        <v>Продукт 10</v>
      </c>
      <c r="B94" s="233" t="str">
        <f t="shared" si="8"/>
        <v>за 1 шт.</v>
      </c>
      <c r="C94" s="205">
        <v>0</v>
      </c>
      <c r="D94" s="205">
        <v>0</v>
      </c>
      <c r="E94" s="205">
        <v>0</v>
      </c>
      <c r="F94" s="205">
        <v>0</v>
      </c>
      <c r="G94" s="205">
        <v>0</v>
      </c>
      <c r="H94" s="205">
        <v>0</v>
      </c>
      <c r="I94" s="205">
        <v>0</v>
      </c>
      <c r="J94" s="205">
        <v>0</v>
      </c>
      <c r="K94" s="205">
        <v>0</v>
      </c>
      <c r="L94" s="205">
        <v>0</v>
      </c>
      <c r="M94" s="205">
        <v>0</v>
      </c>
      <c r="N94" s="205">
        <v>0</v>
      </c>
      <c r="O94" s="205">
        <v>0</v>
      </c>
      <c r="P94" s="205">
        <v>0</v>
      </c>
      <c r="Q94" s="205">
        <v>0</v>
      </c>
      <c r="R94" s="205">
        <v>0</v>
      </c>
      <c r="S94" s="205">
        <v>0</v>
      </c>
      <c r="T94" s="205">
        <v>0</v>
      </c>
      <c r="U94" s="205">
        <v>0</v>
      </c>
      <c r="V94" s="205">
        <v>0</v>
      </c>
      <c r="W94" s="205">
        <v>0</v>
      </c>
      <c r="X94" s="205">
        <v>0</v>
      </c>
      <c r="Y94" s="205">
        <v>0</v>
      </c>
      <c r="Z94" s="205">
        <v>0</v>
      </c>
    </row>
    <row r="95" spans="1:26" ht="12.75" hidden="1" customHeight="1">
      <c r="A95" s="107" t="str">
        <f t="shared" si="9"/>
        <v>Продукт 11</v>
      </c>
      <c r="B95" s="233" t="str">
        <f t="shared" si="8"/>
        <v>за 1 шт.</v>
      </c>
      <c r="C95" s="205">
        <v>0</v>
      </c>
      <c r="D95" s="205">
        <v>0</v>
      </c>
      <c r="E95" s="205">
        <v>0</v>
      </c>
      <c r="F95" s="205">
        <v>0</v>
      </c>
      <c r="G95" s="205">
        <v>0</v>
      </c>
      <c r="H95" s="205">
        <v>0</v>
      </c>
      <c r="I95" s="205">
        <v>0</v>
      </c>
      <c r="J95" s="205">
        <v>0</v>
      </c>
      <c r="K95" s="205">
        <v>0</v>
      </c>
      <c r="L95" s="205">
        <v>0</v>
      </c>
      <c r="M95" s="205">
        <v>0</v>
      </c>
      <c r="N95" s="205">
        <v>0</v>
      </c>
      <c r="O95" s="205">
        <v>0</v>
      </c>
      <c r="P95" s="205">
        <v>0</v>
      </c>
      <c r="Q95" s="205">
        <v>0</v>
      </c>
      <c r="R95" s="205">
        <v>0</v>
      </c>
      <c r="S95" s="205">
        <v>0</v>
      </c>
      <c r="T95" s="205">
        <v>0</v>
      </c>
      <c r="U95" s="205">
        <v>0</v>
      </c>
      <c r="V95" s="205">
        <v>0</v>
      </c>
      <c r="W95" s="205">
        <v>0</v>
      </c>
      <c r="X95" s="205">
        <v>0</v>
      </c>
      <c r="Y95" s="205">
        <v>0</v>
      </c>
      <c r="Z95" s="205">
        <v>0</v>
      </c>
    </row>
    <row r="96" spans="1:26" ht="12.75" hidden="1" customHeight="1">
      <c r="A96" s="107" t="str">
        <f t="shared" si="9"/>
        <v>Продукт 12</v>
      </c>
      <c r="B96" s="233" t="str">
        <f t="shared" si="8"/>
        <v>за 1 шт.</v>
      </c>
      <c r="C96" s="205">
        <v>0</v>
      </c>
      <c r="D96" s="205">
        <v>0</v>
      </c>
      <c r="E96" s="205">
        <v>0</v>
      </c>
      <c r="F96" s="205">
        <v>0</v>
      </c>
      <c r="G96" s="205">
        <v>0</v>
      </c>
      <c r="H96" s="205">
        <v>0</v>
      </c>
      <c r="I96" s="205">
        <v>0</v>
      </c>
      <c r="J96" s="205">
        <v>0</v>
      </c>
      <c r="K96" s="205">
        <v>0</v>
      </c>
      <c r="L96" s="205">
        <v>0</v>
      </c>
      <c r="M96" s="205">
        <v>0</v>
      </c>
      <c r="N96" s="205">
        <v>0</v>
      </c>
      <c r="O96" s="205">
        <v>0</v>
      </c>
      <c r="P96" s="205">
        <v>0</v>
      </c>
      <c r="Q96" s="205">
        <v>0</v>
      </c>
      <c r="R96" s="205">
        <v>0</v>
      </c>
      <c r="S96" s="205">
        <v>0</v>
      </c>
      <c r="T96" s="205">
        <v>0</v>
      </c>
      <c r="U96" s="205">
        <v>0</v>
      </c>
      <c r="V96" s="205">
        <v>0</v>
      </c>
      <c r="W96" s="205">
        <v>0</v>
      </c>
      <c r="X96" s="205">
        <v>0</v>
      </c>
      <c r="Y96" s="205">
        <v>0</v>
      </c>
      <c r="Z96" s="205">
        <v>0</v>
      </c>
    </row>
    <row r="97" spans="1:26" ht="12.75" hidden="1" customHeight="1">
      <c r="A97" s="107" t="str">
        <f t="shared" si="9"/>
        <v>Продукт 13</v>
      </c>
      <c r="B97" s="233" t="str">
        <f t="shared" si="8"/>
        <v>за 1 шт.</v>
      </c>
      <c r="C97" s="205">
        <v>0</v>
      </c>
      <c r="D97" s="205">
        <v>0</v>
      </c>
      <c r="E97" s="205">
        <v>0</v>
      </c>
      <c r="F97" s="205">
        <v>0</v>
      </c>
      <c r="G97" s="205">
        <v>0</v>
      </c>
      <c r="H97" s="205">
        <v>0</v>
      </c>
      <c r="I97" s="205">
        <v>0</v>
      </c>
      <c r="J97" s="205">
        <v>0</v>
      </c>
      <c r="K97" s="205">
        <v>0</v>
      </c>
      <c r="L97" s="205">
        <v>0</v>
      </c>
      <c r="M97" s="205">
        <v>0</v>
      </c>
      <c r="N97" s="205">
        <v>0</v>
      </c>
      <c r="O97" s="205">
        <v>0</v>
      </c>
      <c r="P97" s="205">
        <v>0</v>
      </c>
      <c r="Q97" s="205">
        <v>0</v>
      </c>
      <c r="R97" s="205">
        <v>0</v>
      </c>
      <c r="S97" s="205">
        <v>0</v>
      </c>
      <c r="T97" s="205">
        <v>0</v>
      </c>
      <c r="U97" s="205">
        <v>0</v>
      </c>
      <c r="V97" s="205">
        <v>0</v>
      </c>
      <c r="W97" s="205">
        <v>0</v>
      </c>
      <c r="X97" s="205">
        <v>0</v>
      </c>
      <c r="Y97" s="205">
        <v>0</v>
      </c>
      <c r="Z97" s="205">
        <v>0</v>
      </c>
    </row>
    <row r="98" spans="1:26" ht="12.75" hidden="1" customHeight="1">
      <c r="A98" s="107" t="str">
        <f t="shared" si="9"/>
        <v>Продукт 14</v>
      </c>
      <c r="B98" s="233" t="str">
        <f t="shared" si="8"/>
        <v>за 1 шт.</v>
      </c>
      <c r="C98" s="205">
        <v>0</v>
      </c>
      <c r="D98" s="205">
        <v>0</v>
      </c>
      <c r="E98" s="205">
        <v>0</v>
      </c>
      <c r="F98" s="205">
        <v>0</v>
      </c>
      <c r="G98" s="205">
        <v>0</v>
      </c>
      <c r="H98" s="205">
        <v>0</v>
      </c>
      <c r="I98" s="205">
        <v>0</v>
      </c>
      <c r="J98" s="205">
        <v>0</v>
      </c>
      <c r="K98" s="205">
        <v>0</v>
      </c>
      <c r="L98" s="205">
        <v>0</v>
      </c>
      <c r="M98" s="205">
        <v>0</v>
      </c>
      <c r="N98" s="205">
        <v>0</v>
      </c>
      <c r="O98" s="205">
        <v>0</v>
      </c>
      <c r="P98" s="205">
        <v>0</v>
      </c>
      <c r="Q98" s="205">
        <v>0</v>
      </c>
      <c r="R98" s="205">
        <v>0</v>
      </c>
      <c r="S98" s="205">
        <v>0</v>
      </c>
      <c r="T98" s="205">
        <v>0</v>
      </c>
      <c r="U98" s="205">
        <v>0</v>
      </c>
      <c r="V98" s="205">
        <v>0</v>
      </c>
      <c r="W98" s="205">
        <v>0</v>
      </c>
      <c r="X98" s="205">
        <v>0</v>
      </c>
      <c r="Y98" s="205">
        <v>0</v>
      </c>
      <c r="Z98" s="205">
        <v>0</v>
      </c>
    </row>
    <row r="99" spans="1:26" ht="12.75" hidden="1" customHeight="1">
      <c r="A99" s="107" t="str">
        <f t="shared" si="9"/>
        <v>Продукт 15</v>
      </c>
      <c r="B99" s="233" t="str">
        <f t="shared" si="8"/>
        <v>за 1 шт.</v>
      </c>
      <c r="C99" s="205">
        <v>0</v>
      </c>
      <c r="D99" s="205">
        <v>0</v>
      </c>
      <c r="E99" s="205">
        <v>0</v>
      </c>
      <c r="F99" s="205">
        <v>0</v>
      </c>
      <c r="G99" s="205">
        <v>0</v>
      </c>
      <c r="H99" s="205">
        <v>0</v>
      </c>
      <c r="I99" s="205">
        <v>0</v>
      </c>
      <c r="J99" s="205">
        <v>0</v>
      </c>
      <c r="K99" s="205">
        <v>0</v>
      </c>
      <c r="L99" s="205">
        <v>0</v>
      </c>
      <c r="M99" s="205">
        <v>0</v>
      </c>
      <c r="N99" s="205">
        <v>0</v>
      </c>
      <c r="O99" s="205">
        <v>0</v>
      </c>
      <c r="P99" s="205">
        <v>0</v>
      </c>
      <c r="Q99" s="205">
        <v>0</v>
      </c>
      <c r="R99" s="205">
        <v>0</v>
      </c>
      <c r="S99" s="205">
        <v>0</v>
      </c>
      <c r="T99" s="205">
        <v>0</v>
      </c>
      <c r="U99" s="205">
        <v>0</v>
      </c>
      <c r="V99" s="205">
        <v>0</v>
      </c>
      <c r="W99" s="205">
        <v>0</v>
      </c>
      <c r="X99" s="205">
        <v>0</v>
      </c>
      <c r="Y99" s="205">
        <v>0</v>
      </c>
      <c r="Z99" s="205">
        <v>0</v>
      </c>
    </row>
    <row r="100" spans="1:26" ht="12.75" hidden="1" customHeight="1">
      <c r="A100" s="107" t="str">
        <f t="shared" si="9"/>
        <v>Продукт 16</v>
      </c>
      <c r="B100" s="233" t="str">
        <f t="shared" si="8"/>
        <v>за 1 шт.</v>
      </c>
      <c r="C100" s="205">
        <v>0</v>
      </c>
      <c r="D100" s="205">
        <v>0</v>
      </c>
      <c r="E100" s="205">
        <v>0</v>
      </c>
      <c r="F100" s="205">
        <v>0</v>
      </c>
      <c r="G100" s="205">
        <v>0</v>
      </c>
      <c r="H100" s="205">
        <v>0</v>
      </c>
      <c r="I100" s="205">
        <v>0</v>
      </c>
      <c r="J100" s="205">
        <v>0</v>
      </c>
      <c r="K100" s="205">
        <v>0</v>
      </c>
      <c r="L100" s="205">
        <v>0</v>
      </c>
      <c r="M100" s="205">
        <v>0</v>
      </c>
      <c r="N100" s="205">
        <v>0</v>
      </c>
      <c r="O100" s="205">
        <v>0</v>
      </c>
      <c r="P100" s="205">
        <v>0</v>
      </c>
      <c r="Q100" s="205">
        <v>0</v>
      </c>
      <c r="R100" s="205">
        <v>0</v>
      </c>
      <c r="S100" s="205">
        <v>0</v>
      </c>
      <c r="T100" s="205">
        <v>0</v>
      </c>
      <c r="U100" s="205">
        <v>0</v>
      </c>
      <c r="V100" s="205">
        <v>0</v>
      </c>
      <c r="W100" s="205">
        <v>0</v>
      </c>
      <c r="X100" s="205">
        <v>0</v>
      </c>
      <c r="Y100" s="205">
        <v>0</v>
      </c>
      <c r="Z100" s="205">
        <v>0</v>
      </c>
    </row>
    <row r="101" spans="1:26" ht="12.75" hidden="1" customHeight="1">
      <c r="A101" s="107" t="str">
        <f t="shared" si="9"/>
        <v>Продукт 17</v>
      </c>
      <c r="B101" s="233" t="str">
        <f t="shared" si="8"/>
        <v>за 1 шт.</v>
      </c>
      <c r="C101" s="205">
        <v>0</v>
      </c>
      <c r="D101" s="205">
        <v>0</v>
      </c>
      <c r="E101" s="205">
        <v>0</v>
      </c>
      <c r="F101" s="205">
        <v>0</v>
      </c>
      <c r="G101" s="205">
        <v>0</v>
      </c>
      <c r="H101" s="205">
        <v>0</v>
      </c>
      <c r="I101" s="205">
        <v>0</v>
      </c>
      <c r="J101" s="205">
        <v>0</v>
      </c>
      <c r="K101" s="205">
        <v>0</v>
      </c>
      <c r="L101" s="205">
        <v>0</v>
      </c>
      <c r="M101" s="205">
        <v>0</v>
      </c>
      <c r="N101" s="205">
        <v>0</v>
      </c>
      <c r="O101" s="205">
        <v>0</v>
      </c>
      <c r="P101" s="205">
        <v>0</v>
      </c>
      <c r="Q101" s="205">
        <v>0</v>
      </c>
      <c r="R101" s="205">
        <v>0</v>
      </c>
      <c r="S101" s="205">
        <v>0</v>
      </c>
      <c r="T101" s="205">
        <v>0</v>
      </c>
      <c r="U101" s="205">
        <v>0</v>
      </c>
      <c r="V101" s="205">
        <v>0</v>
      </c>
      <c r="W101" s="205">
        <v>0</v>
      </c>
      <c r="X101" s="205">
        <v>0</v>
      </c>
      <c r="Y101" s="205">
        <v>0</v>
      </c>
      <c r="Z101" s="205">
        <v>0</v>
      </c>
    </row>
    <row r="102" spans="1:26" ht="12.75" hidden="1" customHeight="1">
      <c r="A102" s="107" t="str">
        <f t="shared" si="9"/>
        <v>Продукт 18</v>
      </c>
      <c r="B102" s="233" t="str">
        <f t="shared" si="8"/>
        <v>за 1 шт.</v>
      </c>
      <c r="C102" s="205">
        <v>0</v>
      </c>
      <c r="D102" s="205">
        <v>0</v>
      </c>
      <c r="E102" s="205">
        <v>0</v>
      </c>
      <c r="F102" s="205">
        <v>0</v>
      </c>
      <c r="G102" s="205">
        <v>0</v>
      </c>
      <c r="H102" s="205">
        <v>0</v>
      </c>
      <c r="I102" s="205">
        <v>0</v>
      </c>
      <c r="J102" s="205">
        <v>0</v>
      </c>
      <c r="K102" s="205">
        <v>0</v>
      </c>
      <c r="L102" s="205">
        <v>0</v>
      </c>
      <c r="M102" s="205">
        <v>0</v>
      </c>
      <c r="N102" s="205">
        <v>0</v>
      </c>
      <c r="O102" s="205">
        <v>0</v>
      </c>
      <c r="P102" s="205">
        <v>0</v>
      </c>
      <c r="Q102" s="205">
        <v>0</v>
      </c>
      <c r="R102" s="205">
        <v>0</v>
      </c>
      <c r="S102" s="205">
        <v>0</v>
      </c>
      <c r="T102" s="205">
        <v>0</v>
      </c>
      <c r="U102" s="205">
        <v>0</v>
      </c>
      <c r="V102" s="205">
        <v>0</v>
      </c>
      <c r="W102" s="205">
        <v>0</v>
      </c>
      <c r="X102" s="205">
        <v>0</v>
      </c>
      <c r="Y102" s="205">
        <v>0</v>
      </c>
      <c r="Z102" s="205">
        <v>0</v>
      </c>
    </row>
    <row r="103" spans="1:26" ht="12.75" hidden="1" customHeight="1">
      <c r="A103" s="107" t="str">
        <f t="shared" si="9"/>
        <v>Продукт 19</v>
      </c>
      <c r="B103" s="233" t="str">
        <f t="shared" si="8"/>
        <v>за 1 шт.</v>
      </c>
      <c r="C103" s="205">
        <v>0</v>
      </c>
      <c r="D103" s="205">
        <v>0</v>
      </c>
      <c r="E103" s="205">
        <v>0</v>
      </c>
      <c r="F103" s="205">
        <v>0</v>
      </c>
      <c r="G103" s="205">
        <v>0</v>
      </c>
      <c r="H103" s="205">
        <v>0</v>
      </c>
      <c r="I103" s="205">
        <v>0</v>
      </c>
      <c r="J103" s="205">
        <v>0</v>
      </c>
      <c r="K103" s="205">
        <v>0</v>
      </c>
      <c r="L103" s="205">
        <v>0</v>
      </c>
      <c r="M103" s="205">
        <v>0</v>
      </c>
      <c r="N103" s="205">
        <v>0</v>
      </c>
      <c r="O103" s="205">
        <v>0</v>
      </c>
      <c r="P103" s="205">
        <v>0</v>
      </c>
      <c r="Q103" s="205">
        <v>0</v>
      </c>
      <c r="R103" s="205">
        <v>0</v>
      </c>
      <c r="S103" s="205">
        <v>0</v>
      </c>
      <c r="T103" s="205">
        <v>0</v>
      </c>
      <c r="U103" s="205">
        <v>0</v>
      </c>
      <c r="V103" s="205">
        <v>0</v>
      </c>
      <c r="W103" s="205">
        <v>0</v>
      </c>
      <c r="X103" s="205">
        <v>0</v>
      </c>
      <c r="Y103" s="205">
        <v>0</v>
      </c>
      <c r="Z103" s="205">
        <v>0</v>
      </c>
    </row>
    <row r="104" spans="1:26" ht="12.75" hidden="1" customHeight="1">
      <c r="A104" s="107" t="str">
        <f t="shared" si="9"/>
        <v>Продукт 20</v>
      </c>
      <c r="B104" s="233" t="str">
        <f t="shared" si="8"/>
        <v>за 1 шт.</v>
      </c>
      <c r="C104" s="205">
        <v>0</v>
      </c>
      <c r="D104" s="205">
        <v>0</v>
      </c>
      <c r="E104" s="205">
        <v>0</v>
      </c>
      <c r="F104" s="205">
        <v>0</v>
      </c>
      <c r="G104" s="205">
        <v>0</v>
      </c>
      <c r="H104" s="205">
        <v>0</v>
      </c>
      <c r="I104" s="205">
        <v>0</v>
      </c>
      <c r="J104" s="205">
        <v>0</v>
      </c>
      <c r="K104" s="205">
        <v>0</v>
      </c>
      <c r="L104" s="205">
        <v>0</v>
      </c>
      <c r="M104" s="205">
        <v>0</v>
      </c>
      <c r="N104" s="205">
        <v>0</v>
      </c>
      <c r="O104" s="205">
        <v>0</v>
      </c>
      <c r="P104" s="205">
        <v>0</v>
      </c>
      <c r="Q104" s="205">
        <v>0</v>
      </c>
      <c r="R104" s="205">
        <v>0</v>
      </c>
      <c r="S104" s="205">
        <v>0</v>
      </c>
      <c r="T104" s="205">
        <v>0</v>
      </c>
      <c r="U104" s="205">
        <v>0</v>
      </c>
      <c r="V104" s="205">
        <v>0</v>
      </c>
      <c r="W104" s="205">
        <v>0</v>
      </c>
      <c r="X104" s="205">
        <v>0</v>
      </c>
      <c r="Y104" s="205">
        <v>0</v>
      </c>
      <c r="Z104" s="205">
        <v>0</v>
      </c>
    </row>
    <row r="105" spans="1:26" ht="12.75" customHeight="1" thickBot="1">
      <c r="A105" s="107"/>
      <c r="B105" s="233"/>
      <c r="C105" s="249"/>
      <c r="D105" s="249"/>
      <c r="E105" s="249"/>
      <c r="F105" s="249"/>
      <c r="G105" s="249"/>
      <c r="H105" s="249"/>
      <c r="I105" s="249"/>
      <c r="J105" s="249"/>
      <c r="K105" s="249"/>
      <c r="L105" s="249"/>
      <c r="M105" s="249"/>
      <c r="N105" s="250"/>
    </row>
    <row r="106" spans="1:26" ht="12.75" customHeight="1" thickBot="1">
      <c r="A106" s="132" t="s">
        <v>237</v>
      </c>
      <c r="B106" s="133" t="s">
        <v>8</v>
      </c>
      <c r="C106" s="190" t="str">
        <f>C40</f>
        <v>1/2027</v>
      </c>
      <c r="D106" s="134" t="str">
        <f t="shared" ref="D106:N106" si="10">D40</f>
        <v>2/2027</v>
      </c>
      <c r="E106" s="134" t="str">
        <f t="shared" si="10"/>
        <v>3/2027</v>
      </c>
      <c r="F106" s="134" t="str">
        <f t="shared" si="10"/>
        <v>4/2027</v>
      </c>
      <c r="G106" s="134" t="str">
        <f t="shared" si="10"/>
        <v>5/2027</v>
      </c>
      <c r="H106" s="134" t="str">
        <f t="shared" si="10"/>
        <v>6/2027</v>
      </c>
      <c r="I106" s="134" t="str">
        <f t="shared" si="10"/>
        <v>7/2027</v>
      </c>
      <c r="J106" s="134" t="str">
        <f t="shared" si="10"/>
        <v>8/2027</v>
      </c>
      <c r="K106" s="134" t="str">
        <f t="shared" si="10"/>
        <v>9/2027</v>
      </c>
      <c r="L106" s="134" t="str">
        <f t="shared" si="10"/>
        <v>10/2027</v>
      </c>
      <c r="M106" s="134" t="str">
        <f t="shared" si="10"/>
        <v>11/2027</v>
      </c>
      <c r="N106" s="134" t="str">
        <f t="shared" si="10"/>
        <v>12/2027</v>
      </c>
      <c r="O106" s="134" t="str">
        <f t="shared" ref="O106:Z106" si="11">O40</f>
        <v>1/2028</v>
      </c>
      <c r="P106" s="134" t="str">
        <f t="shared" si="11"/>
        <v>2/2028</v>
      </c>
      <c r="Q106" s="134" t="str">
        <f t="shared" si="11"/>
        <v>3/2028</v>
      </c>
      <c r="R106" s="134" t="str">
        <f t="shared" si="11"/>
        <v>4/2028</v>
      </c>
      <c r="S106" s="134" t="str">
        <f t="shared" si="11"/>
        <v>5/2028</v>
      </c>
      <c r="T106" s="134" t="str">
        <f t="shared" si="11"/>
        <v>6/2028</v>
      </c>
      <c r="U106" s="134" t="str">
        <f t="shared" si="11"/>
        <v>7/2028</v>
      </c>
      <c r="V106" s="134" t="str">
        <f t="shared" si="11"/>
        <v>8/2028</v>
      </c>
      <c r="W106" s="134" t="str">
        <f t="shared" si="11"/>
        <v>9/2028</v>
      </c>
      <c r="X106" s="134" t="str">
        <f t="shared" si="11"/>
        <v>10/2028</v>
      </c>
      <c r="Y106" s="134" t="str">
        <f t="shared" si="11"/>
        <v>11/2028</v>
      </c>
      <c r="Z106" s="135" t="str">
        <f t="shared" si="11"/>
        <v>12/2028</v>
      </c>
    </row>
    <row r="107" spans="1:26" ht="12.75" customHeight="1">
      <c r="A107" s="107" t="str">
        <f>A13</f>
        <v>товар1</v>
      </c>
      <c r="B107" s="233" t="str">
        <f>"за 1 " &amp; B13</f>
        <v>за 1 шт.</v>
      </c>
      <c r="C107" s="204">
        <v>0</v>
      </c>
      <c r="D107" s="204">
        <v>0</v>
      </c>
      <c r="E107" s="204">
        <v>0</v>
      </c>
      <c r="F107" s="204">
        <v>0</v>
      </c>
      <c r="G107" s="204">
        <v>0</v>
      </c>
      <c r="H107" s="204">
        <v>0</v>
      </c>
      <c r="I107" s="204">
        <v>0</v>
      </c>
      <c r="J107" s="204">
        <v>0</v>
      </c>
      <c r="K107" s="204">
        <v>0</v>
      </c>
      <c r="L107" s="204">
        <v>0</v>
      </c>
      <c r="M107" s="204">
        <v>0</v>
      </c>
      <c r="N107" s="354">
        <v>0</v>
      </c>
      <c r="O107" s="204">
        <v>0</v>
      </c>
      <c r="P107" s="204">
        <v>0</v>
      </c>
      <c r="Q107" s="204">
        <v>0</v>
      </c>
      <c r="R107" s="204">
        <v>0</v>
      </c>
      <c r="S107" s="204">
        <v>0</v>
      </c>
      <c r="T107" s="204">
        <v>0</v>
      </c>
      <c r="U107" s="204">
        <v>0</v>
      </c>
      <c r="V107" s="204">
        <v>0</v>
      </c>
      <c r="W107" s="204">
        <v>0</v>
      </c>
      <c r="X107" s="204">
        <v>0</v>
      </c>
      <c r="Y107" s="204">
        <v>0</v>
      </c>
      <c r="Z107" s="204">
        <v>0</v>
      </c>
    </row>
    <row r="108" spans="1:26" ht="12.75" hidden="1" customHeight="1">
      <c r="A108" s="107" t="str">
        <f t="shared" ref="A108:A126" si="12">A14</f>
        <v>косметика</v>
      </c>
      <c r="B108" s="233" t="str">
        <f t="shared" ref="B108:B126" si="13">"за 1 " &amp; B14</f>
        <v>за 1 шт.</v>
      </c>
      <c r="C108" s="205">
        <v>0</v>
      </c>
      <c r="D108" s="205">
        <v>0</v>
      </c>
      <c r="E108" s="205">
        <v>0</v>
      </c>
      <c r="F108" s="205">
        <v>0</v>
      </c>
      <c r="G108" s="205">
        <v>0</v>
      </c>
      <c r="H108" s="205">
        <v>0</v>
      </c>
      <c r="I108" s="205">
        <v>0</v>
      </c>
      <c r="J108" s="205">
        <v>0</v>
      </c>
      <c r="K108" s="205">
        <v>0</v>
      </c>
      <c r="L108" s="205">
        <v>0</v>
      </c>
      <c r="M108" s="205">
        <v>0</v>
      </c>
      <c r="N108" s="355">
        <v>0</v>
      </c>
      <c r="O108" s="205">
        <v>0</v>
      </c>
      <c r="P108" s="205">
        <v>0</v>
      </c>
      <c r="Q108" s="205">
        <v>0</v>
      </c>
      <c r="R108" s="205">
        <v>0</v>
      </c>
      <c r="S108" s="205">
        <v>0</v>
      </c>
      <c r="T108" s="205">
        <v>0</v>
      </c>
      <c r="U108" s="205">
        <v>0</v>
      </c>
      <c r="V108" s="205">
        <v>0</v>
      </c>
      <c r="W108" s="205">
        <v>0</v>
      </c>
      <c r="X108" s="205">
        <v>0</v>
      </c>
      <c r="Y108" s="205">
        <v>0</v>
      </c>
      <c r="Z108" s="205">
        <v>0</v>
      </c>
    </row>
    <row r="109" spans="1:26" ht="12.75" hidden="1" customHeight="1">
      <c r="A109" s="107" t="str">
        <f t="shared" si="12"/>
        <v>товары для дома</v>
      </c>
      <c r="B109" s="233" t="str">
        <f t="shared" si="13"/>
        <v>за 1 шт.</v>
      </c>
      <c r="C109" s="205">
        <v>0</v>
      </c>
      <c r="D109" s="205">
        <v>0</v>
      </c>
      <c r="E109" s="205">
        <v>0</v>
      </c>
      <c r="F109" s="205">
        <v>0</v>
      </c>
      <c r="G109" s="205">
        <v>0</v>
      </c>
      <c r="H109" s="205">
        <v>0</v>
      </c>
      <c r="I109" s="205">
        <v>0</v>
      </c>
      <c r="J109" s="205">
        <v>0</v>
      </c>
      <c r="K109" s="205">
        <v>0</v>
      </c>
      <c r="L109" s="205">
        <v>0</v>
      </c>
      <c r="M109" s="205">
        <v>0</v>
      </c>
      <c r="N109" s="355">
        <v>0</v>
      </c>
      <c r="O109" s="205">
        <v>0</v>
      </c>
      <c r="P109" s="205">
        <v>0</v>
      </c>
      <c r="Q109" s="205">
        <v>0</v>
      </c>
      <c r="R109" s="205">
        <v>0</v>
      </c>
      <c r="S109" s="205">
        <v>0</v>
      </c>
      <c r="T109" s="205">
        <v>0</v>
      </c>
      <c r="U109" s="205">
        <v>0</v>
      </c>
      <c r="V109" s="205">
        <v>0</v>
      </c>
      <c r="W109" s="205">
        <v>0</v>
      </c>
      <c r="X109" s="205">
        <v>0</v>
      </c>
      <c r="Y109" s="205">
        <v>0</v>
      </c>
      <c r="Z109" s="205">
        <v>0</v>
      </c>
    </row>
    <row r="110" spans="1:26" ht="12.75" hidden="1" customHeight="1">
      <c r="A110" s="107" t="str">
        <f t="shared" si="12"/>
        <v>Продукт 4</v>
      </c>
      <c r="B110" s="233" t="str">
        <f t="shared" si="13"/>
        <v>за 1 шт.</v>
      </c>
      <c r="C110" s="205">
        <v>0</v>
      </c>
      <c r="D110" s="205">
        <v>0</v>
      </c>
      <c r="E110" s="205">
        <v>0</v>
      </c>
      <c r="F110" s="205">
        <v>0</v>
      </c>
      <c r="G110" s="205">
        <v>0</v>
      </c>
      <c r="H110" s="205">
        <v>0</v>
      </c>
      <c r="I110" s="205">
        <v>0</v>
      </c>
      <c r="J110" s="205">
        <v>0</v>
      </c>
      <c r="K110" s="205">
        <v>0</v>
      </c>
      <c r="L110" s="205">
        <v>0</v>
      </c>
      <c r="M110" s="205">
        <v>0</v>
      </c>
      <c r="N110" s="355">
        <v>0</v>
      </c>
      <c r="O110" s="205">
        <v>0</v>
      </c>
      <c r="P110" s="205">
        <v>0</v>
      </c>
      <c r="Q110" s="205">
        <v>0</v>
      </c>
      <c r="R110" s="205">
        <v>0</v>
      </c>
      <c r="S110" s="205">
        <v>0</v>
      </c>
      <c r="T110" s="205">
        <v>0</v>
      </c>
      <c r="U110" s="205">
        <v>0</v>
      </c>
      <c r="V110" s="205">
        <v>0</v>
      </c>
      <c r="W110" s="205">
        <v>0</v>
      </c>
      <c r="X110" s="205">
        <v>0</v>
      </c>
      <c r="Y110" s="205">
        <v>0</v>
      </c>
      <c r="Z110" s="205">
        <v>0</v>
      </c>
    </row>
    <row r="111" spans="1:26" ht="12.75" hidden="1" customHeight="1">
      <c r="A111" s="107" t="str">
        <f t="shared" si="12"/>
        <v>Продукт 5</v>
      </c>
      <c r="B111" s="233" t="str">
        <f t="shared" si="13"/>
        <v>за 1 шт.</v>
      </c>
      <c r="C111" s="205">
        <v>0</v>
      </c>
      <c r="D111" s="205">
        <v>0</v>
      </c>
      <c r="E111" s="205">
        <v>0</v>
      </c>
      <c r="F111" s="205">
        <v>0</v>
      </c>
      <c r="G111" s="205">
        <v>0</v>
      </c>
      <c r="H111" s="205">
        <v>0</v>
      </c>
      <c r="I111" s="205">
        <v>0</v>
      </c>
      <c r="J111" s="205">
        <v>0</v>
      </c>
      <c r="K111" s="205">
        <v>0</v>
      </c>
      <c r="L111" s="205">
        <v>0</v>
      </c>
      <c r="M111" s="205">
        <v>0</v>
      </c>
      <c r="N111" s="355">
        <v>0</v>
      </c>
      <c r="O111" s="205">
        <v>0</v>
      </c>
      <c r="P111" s="205">
        <v>0</v>
      </c>
      <c r="Q111" s="205">
        <v>0</v>
      </c>
      <c r="R111" s="205">
        <v>0</v>
      </c>
      <c r="S111" s="205">
        <v>0</v>
      </c>
      <c r="T111" s="205">
        <v>0</v>
      </c>
      <c r="U111" s="205">
        <v>0</v>
      </c>
      <c r="V111" s="205">
        <v>0</v>
      </c>
      <c r="W111" s="205">
        <v>0</v>
      </c>
      <c r="X111" s="205">
        <v>0</v>
      </c>
      <c r="Y111" s="205">
        <v>0</v>
      </c>
      <c r="Z111" s="205">
        <v>0</v>
      </c>
    </row>
    <row r="112" spans="1:26" ht="12.75" hidden="1" customHeight="1">
      <c r="A112" s="107" t="str">
        <f t="shared" si="12"/>
        <v>Продукт 6</v>
      </c>
      <c r="B112" s="233" t="str">
        <f t="shared" si="13"/>
        <v>за 1 шт.</v>
      </c>
      <c r="C112" s="205">
        <v>0</v>
      </c>
      <c r="D112" s="205">
        <v>0</v>
      </c>
      <c r="E112" s="205">
        <v>0</v>
      </c>
      <c r="F112" s="205">
        <v>0</v>
      </c>
      <c r="G112" s="205">
        <v>0</v>
      </c>
      <c r="H112" s="205">
        <v>0</v>
      </c>
      <c r="I112" s="205">
        <v>0</v>
      </c>
      <c r="J112" s="205">
        <v>0</v>
      </c>
      <c r="K112" s="205">
        <v>0</v>
      </c>
      <c r="L112" s="205">
        <v>0</v>
      </c>
      <c r="M112" s="205">
        <v>0</v>
      </c>
      <c r="N112" s="355">
        <v>0</v>
      </c>
      <c r="O112" s="205">
        <v>0</v>
      </c>
      <c r="P112" s="205">
        <v>0</v>
      </c>
      <c r="Q112" s="205">
        <v>0</v>
      </c>
      <c r="R112" s="205">
        <v>0</v>
      </c>
      <c r="S112" s="205">
        <v>0</v>
      </c>
      <c r="T112" s="205">
        <v>0</v>
      </c>
      <c r="U112" s="205">
        <v>0</v>
      </c>
      <c r="V112" s="205">
        <v>0</v>
      </c>
      <c r="W112" s="205">
        <v>0</v>
      </c>
      <c r="X112" s="205">
        <v>0</v>
      </c>
      <c r="Y112" s="205">
        <v>0</v>
      </c>
      <c r="Z112" s="205">
        <v>0</v>
      </c>
    </row>
    <row r="113" spans="1:26" ht="12.75" hidden="1" customHeight="1">
      <c r="A113" s="107" t="str">
        <f t="shared" si="12"/>
        <v>Продукт 7</v>
      </c>
      <c r="B113" s="233" t="str">
        <f t="shared" si="13"/>
        <v>за 1 шт.</v>
      </c>
      <c r="C113" s="205">
        <v>0</v>
      </c>
      <c r="D113" s="205">
        <v>0</v>
      </c>
      <c r="E113" s="205">
        <v>0</v>
      </c>
      <c r="F113" s="205">
        <v>0</v>
      </c>
      <c r="G113" s="205">
        <v>0</v>
      </c>
      <c r="H113" s="205">
        <v>0</v>
      </c>
      <c r="I113" s="205">
        <v>0</v>
      </c>
      <c r="J113" s="205">
        <v>0</v>
      </c>
      <c r="K113" s="205">
        <v>0</v>
      </c>
      <c r="L113" s="205">
        <v>0</v>
      </c>
      <c r="M113" s="205">
        <v>0</v>
      </c>
      <c r="N113" s="355">
        <v>0</v>
      </c>
      <c r="O113" s="205">
        <v>0</v>
      </c>
      <c r="P113" s="205">
        <v>0</v>
      </c>
      <c r="Q113" s="205">
        <v>0</v>
      </c>
      <c r="R113" s="205">
        <v>0</v>
      </c>
      <c r="S113" s="205">
        <v>0</v>
      </c>
      <c r="T113" s="205">
        <v>0</v>
      </c>
      <c r="U113" s="205">
        <v>0</v>
      </c>
      <c r="V113" s="205">
        <v>0</v>
      </c>
      <c r="W113" s="205">
        <v>0</v>
      </c>
      <c r="X113" s="205">
        <v>0</v>
      </c>
      <c r="Y113" s="205">
        <v>0</v>
      </c>
      <c r="Z113" s="205">
        <v>0</v>
      </c>
    </row>
    <row r="114" spans="1:26" ht="12.75" hidden="1" customHeight="1">
      <c r="A114" s="107" t="str">
        <f t="shared" si="12"/>
        <v>Продукт 8</v>
      </c>
      <c r="B114" s="233" t="str">
        <f t="shared" si="13"/>
        <v>за 1 шт.</v>
      </c>
      <c r="C114" s="205">
        <v>0</v>
      </c>
      <c r="D114" s="205">
        <v>0</v>
      </c>
      <c r="E114" s="205">
        <v>0</v>
      </c>
      <c r="F114" s="205">
        <v>0</v>
      </c>
      <c r="G114" s="205">
        <v>0</v>
      </c>
      <c r="H114" s="205">
        <v>0</v>
      </c>
      <c r="I114" s="205">
        <v>0</v>
      </c>
      <c r="J114" s="205">
        <v>0</v>
      </c>
      <c r="K114" s="205">
        <v>0</v>
      </c>
      <c r="L114" s="205">
        <v>0</v>
      </c>
      <c r="M114" s="205">
        <v>0</v>
      </c>
      <c r="N114" s="355">
        <v>0</v>
      </c>
      <c r="O114" s="205">
        <v>0</v>
      </c>
      <c r="P114" s="205">
        <v>0</v>
      </c>
      <c r="Q114" s="205">
        <v>0</v>
      </c>
      <c r="R114" s="205">
        <v>0</v>
      </c>
      <c r="S114" s="205">
        <v>0</v>
      </c>
      <c r="T114" s="205">
        <v>0</v>
      </c>
      <c r="U114" s="205">
        <v>0</v>
      </c>
      <c r="V114" s="205">
        <v>0</v>
      </c>
      <c r="W114" s="205">
        <v>0</v>
      </c>
      <c r="X114" s="205">
        <v>0</v>
      </c>
      <c r="Y114" s="205">
        <v>0</v>
      </c>
      <c r="Z114" s="205">
        <v>0</v>
      </c>
    </row>
    <row r="115" spans="1:26" ht="12.75" hidden="1" customHeight="1">
      <c r="A115" s="107" t="str">
        <f t="shared" si="12"/>
        <v>Продукт 9</v>
      </c>
      <c r="B115" s="233" t="str">
        <f t="shared" si="13"/>
        <v>за 1 шт.</v>
      </c>
      <c r="C115" s="205">
        <v>0</v>
      </c>
      <c r="D115" s="205">
        <v>0</v>
      </c>
      <c r="E115" s="205">
        <v>0</v>
      </c>
      <c r="F115" s="205">
        <v>0</v>
      </c>
      <c r="G115" s="205">
        <v>0</v>
      </c>
      <c r="H115" s="205">
        <v>0</v>
      </c>
      <c r="I115" s="205">
        <v>0</v>
      </c>
      <c r="J115" s="205">
        <v>0</v>
      </c>
      <c r="K115" s="205">
        <v>0</v>
      </c>
      <c r="L115" s="205">
        <v>0</v>
      </c>
      <c r="M115" s="205">
        <v>0</v>
      </c>
      <c r="N115" s="355">
        <v>0</v>
      </c>
      <c r="O115" s="205">
        <v>0</v>
      </c>
      <c r="P115" s="205">
        <v>0</v>
      </c>
      <c r="Q115" s="205">
        <v>0</v>
      </c>
      <c r="R115" s="205">
        <v>0</v>
      </c>
      <c r="S115" s="205">
        <v>0</v>
      </c>
      <c r="T115" s="205">
        <v>0</v>
      </c>
      <c r="U115" s="205">
        <v>0</v>
      </c>
      <c r="V115" s="205">
        <v>0</v>
      </c>
      <c r="W115" s="205">
        <v>0</v>
      </c>
      <c r="X115" s="205">
        <v>0</v>
      </c>
      <c r="Y115" s="205">
        <v>0</v>
      </c>
      <c r="Z115" s="205">
        <v>0</v>
      </c>
    </row>
    <row r="116" spans="1:26" ht="12.75" hidden="1" customHeight="1">
      <c r="A116" s="107" t="str">
        <f t="shared" si="12"/>
        <v>Продукт 10</v>
      </c>
      <c r="B116" s="233" t="str">
        <f t="shared" si="13"/>
        <v>за 1 шт.</v>
      </c>
      <c r="C116" s="205">
        <v>0</v>
      </c>
      <c r="D116" s="205">
        <v>0</v>
      </c>
      <c r="E116" s="205">
        <v>0</v>
      </c>
      <c r="F116" s="205">
        <v>0</v>
      </c>
      <c r="G116" s="205">
        <v>0</v>
      </c>
      <c r="H116" s="205">
        <v>0</v>
      </c>
      <c r="I116" s="205">
        <v>0</v>
      </c>
      <c r="J116" s="205">
        <v>0</v>
      </c>
      <c r="K116" s="205">
        <v>0</v>
      </c>
      <c r="L116" s="205">
        <v>0</v>
      </c>
      <c r="M116" s="205">
        <v>0</v>
      </c>
      <c r="N116" s="355">
        <v>0</v>
      </c>
      <c r="O116" s="205">
        <v>0</v>
      </c>
      <c r="P116" s="205">
        <v>0</v>
      </c>
      <c r="Q116" s="205">
        <v>0</v>
      </c>
      <c r="R116" s="205">
        <v>0</v>
      </c>
      <c r="S116" s="205">
        <v>0</v>
      </c>
      <c r="T116" s="205">
        <v>0</v>
      </c>
      <c r="U116" s="205">
        <v>0</v>
      </c>
      <c r="V116" s="205">
        <v>0</v>
      </c>
      <c r="W116" s="205">
        <v>0</v>
      </c>
      <c r="X116" s="205">
        <v>0</v>
      </c>
      <c r="Y116" s="205">
        <v>0</v>
      </c>
      <c r="Z116" s="205">
        <v>0</v>
      </c>
    </row>
    <row r="117" spans="1:26" ht="12.75" hidden="1" customHeight="1">
      <c r="A117" s="107" t="str">
        <f t="shared" si="12"/>
        <v>Продукт 11</v>
      </c>
      <c r="B117" s="233" t="str">
        <f t="shared" si="13"/>
        <v>за 1 шт.</v>
      </c>
      <c r="C117" s="205">
        <v>0</v>
      </c>
      <c r="D117" s="205">
        <v>0</v>
      </c>
      <c r="E117" s="205">
        <v>0</v>
      </c>
      <c r="F117" s="205">
        <v>0</v>
      </c>
      <c r="G117" s="205">
        <v>0</v>
      </c>
      <c r="H117" s="205">
        <v>0</v>
      </c>
      <c r="I117" s="205">
        <v>0</v>
      </c>
      <c r="J117" s="205">
        <v>0</v>
      </c>
      <c r="K117" s="205">
        <v>0</v>
      </c>
      <c r="L117" s="205">
        <v>0</v>
      </c>
      <c r="M117" s="205">
        <v>0</v>
      </c>
      <c r="N117" s="355">
        <v>0</v>
      </c>
      <c r="O117" s="205">
        <v>0</v>
      </c>
      <c r="P117" s="205">
        <v>0</v>
      </c>
      <c r="Q117" s="205">
        <v>0</v>
      </c>
      <c r="R117" s="205">
        <v>0</v>
      </c>
      <c r="S117" s="205">
        <v>0</v>
      </c>
      <c r="T117" s="205">
        <v>0</v>
      </c>
      <c r="U117" s="205">
        <v>0</v>
      </c>
      <c r="V117" s="205">
        <v>0</v>
      </c>
      <c r="W117" s="205">
        <v>0</v>
      </c>
      <c r="X117" s="205">
        <v>0</v>
      </c>
      <c r="Y117" s="205">
        <v>0</v>
      </c>
      <c r="Z117" s="205">
        <v>0</v>
      </c>
    </row>
    <row r="118" spans="1:26" ht="12.75" hidden="1" customHeight="1">
      <c r="A118" s="107" t="str">
        <f t="shared" si="12"/>
        <v>Продукт 12</v>
      </c>
      <c r="B118" s="233" t="str">
        <f t="shared" si="13"/>
        <v>за 1 шт.</v>
      </c>
      <c r="C118" s="205">
        <v>0</v>
      </c>
      <c r="D118" s="205">
        <v>0</v>
      </c>
      <c r="E118" s="205">
        <v>0</v>
      </c>
      <c r="F118" s="205">
        <v>0</v>
      </c>
      <c r="G118" s="205">
        <v>0</v>
      </c>
      <c r="H118" s="205">
        <v>0</v>
      </c>
      <c r="I118" s="205">
        <v>0</v>
      </c>
      <c r="J118" s="205">
        <v>0</v>
      </c>
      <c r="K118" s="205">
        <v>0</v>
      </c>
      <c r="L118" s="205">
        <v>0</v>
      </c>
      <c r="M118" s="205">
        <v>0</v>
      </c>
      <c r="N118" s="355">
        <v>0</v>
      </c>
      <c r="O118" s="205">
        <v>0</v>
      </c>
      <c r="P118" s="205">
        <v>0</v>
      </c>
      <c r="Q118" s="205">
        <v>0</v>
      </c>
      <c r="R118" s="205">
        <v>0</v>
      </c>
      <c r="S118" s="205">
        <v>0</v>
      </c>
      <c r="T118" s="205">
        <v>0</v>
      </c>
      <c r="U118" s="205">
        <v>0</v>
      </c>
      <c r="V118" s="205">
        <v>0</v>
      </c>
      <c r="W118" s="205">
        <v>0</v>
      </c>
      <c r="X118" s="205">
        <v>0</v>
      </c>
      <c r="Y118" s="205">
        <v>0</v>
      </c>
      <c r="Z118" s="205">
        <v>0</v>
      </c>
    </row>
    <row r="119" spans="1:26" ht="12.75" hidden="1" customHeight="1">
      <c r="A119" s="107" t="str">
        <f t="shared" si="12"/>
        <v>Продукт 13</v>
      </c>
      <c r="B119" s="233" t="str">
        <f t="shared" si="13"/>
        <v>за 1 шт.</v>
      </c>
      <c r="C119" s="205">
        <v>0</v>
      </c>
      <c r="D119" s="205">
        <v>0</v>
      </c>
      <c r="E119" s="205">
        <v>0</v>
      </c>
      <c r="F119" s="205">
        <v>0</v>
      </c>
      <c r="G119" s="205">
        <v>0</v>
      </c>
      <c r="H119" s="205">
        <v>0</v>
      </c>
      <c r="I119" s="205">
        <v>0</v>
      </c>
      <c r="J119" s="205">
        <v>0</v>
      </c>
      <c r="K119" s="205">
        <v>0</v>
      </c>
      <c r="L119" s="205">
        <v>0</v>
      </c>
      <c r="M119" s="205">
        <v>0</v>
      </c>
      <c r="N119" s="355">
        <v>0</v>
      </c>
      <c r="O119" s="205">
        <v>0</v>
      </c>
      <c r="P119" s="205">
        <v>0</v>
      </c>
      <c r="Q119" s="205">
        <v>0</v>
      </c>
      <c r="R119" s="205">
        <v>0</v>
      </c>
      <c r="S119" s="205">
        <v>0</v>
      </c>
      <c r="T119" s="205">
        <v>0</v>
      </c>
      <c r="U119" s="205">
        <v>0</v>
      </c>
      <c r="V119" s="205">
        <v>0</v>
      </c>
      <c r="W119" s="205">
        <v>0</v>
      </c>
      <c r="X119" s="205">
        <v>0</v>
      </c>
      <c r="Y119" s="205">
        <v>0</v>
      </c>
      <c r="Z119" s="205">
        <v>0</v>
      </c>
    </row>
    <row r="120" spans="1:26" ht="12.75" hidden="1" customHeight="1">
      <c r="A120" s="107" t="str">
        <f t="shared" si="12"/>
        <v>Продукт 14</v>
      </c>
      <c r="B120" s="233" t="str">
        <f t="shared" si="13"/>
        <v>за 1 шт.</v>
      </c>
      <c r="C120" s="205">
        <v>0</v>
      </c>
      <c r="D120" s="205">
        <v>0</v>
      </c>
      <c r="E120" s="205">
        <v>0</v>
      </c>
      <c r="F120" s="205">
        <v>0</v>
      </c>
      <c r="G120" s="205">
        <v>0</v>
      </c>
      <c r="H120" s="205">
        <v>0</v>
      </c>
      <c r="I120" s="205">
        <v>0</v>
      </c>
      <c r="J120" s="205">
        <v>0</v>
      </c>
      <c r="K120" s="205">
        <v>0</v>
      </c>
      <c r="L120" s="205">
        <v>0</v>
      </c>
      <c r="M120" s="205">
        <v>0</v>
      </c>
      <c r="N120" s="355">
        <v>0</v>
      </c>
      <c r="O120" s="205">
        <v>0</v>
      </c>
      <c r="P120" s="205">
        <v>0</v>
      </c>
      <c r="Q120" s="205">
        <v>0</v>
      </c>
      <c r="R120" s="205">
        <v>0</v>
      </c>
      <c r="S120" s="205">
        <v>0</v>
      </c>
      <c r="T120" s="205">
        <v>0</v>
      </c>
      <c r="U120" s="205">
        <v>0</v>
      </c>
      <c r="V120" s="205">
        <v>0</v>
      </c>
      <c r="W120" s="205">
        <v>0</v>
      </c>
      <c r="X120" s="205">
        <v>0</v>
      </c>
      <c r="Y120" s="205">
        <v>0</v>
      </c>
      <c r="Z120" s="205">
        <v>0</v>
      </c>
    </row>
    <row r="121" spans="1:26" ht="12.75" hidden="1" customHeight="1">
      <c r="A121" s="107" t="str">
        <f t="shared" si="12"/>
        <v>Продукт 15</v>
      </c>
      <c r="B121" s="233" t="str">
        <f t="shared" si="13"/>
        <v>за 1 шт.</v>
      </c>
      <c r="C121" s="205">
        <v>0</v>
      </c>
      <c r="D121" s="205">
        <v>0</v>
      </c>
      <c r="E121" s="205">
        <v>0</v>
      </c>
      <c r="F121" s="205">
        <v>0</v>
      </c>
      <c r="G121" s="205">
        <v>0</v>
      </c>
      <c r="H121" s="205">
        <v>0</v>
      </c>
      <c r="I121" s="205">
        <v>0</v>
      </c>
      <c r="J121" s="205">
        <v>0</v>
      </c>
      <c r="K121" s="205">
        <v>0</v>
      </c>
      <c r="L121" s="205">
        <v>0</v>
      </c>
      <c r="M121" s="205">
        <v>0</v>
      </c>
      <c r="N121" s="355">
        <v>0</v>
      </c>
      <c r="O121" s="205">
        <v>0</v>
      </c>
      <c r="P121" s="205">
        <v>0</v>
      </c>
      <c r="Q121" s="205">
        <v>0</v>
      </c>
      <c r="R121" s="205">
        <v>0</v>
      </c>
      <c r="S121" s="205">
        <v>0</v>
      </c>
      <c r="T121" s="205">
        <v>0</v>
      </c>
      <c r="U121" s="205">
        <v>0</v>
      </c>
      <c r="V121" s="205">
        <v>0</v>
      </c>
      <c r="W121" s="205">
        <v>0</v>
      </c>
      <c r="X121" s="205">
        <v>0</v>
      </c>
      <c r="Y121" s="205">
        <v>0</v>
      </c>
      <c r="Z121" s="205">
        <v>0</v>
      </c>
    </row>
    <row r="122" spans="1:26" ht="12.75" hidden="1" customHeight="1">
      <c r="A122" s="107" t="str">
        <f t="shared" si="12"/>
        <v>Продукт 16</v>
      </c>
      <c r="B122" s="233" t="str">
        <f t="shared" si="13"/>
        <v>за 1 шт.</v>
      </c>
      <c r="C122" s="205">
        <v>0</v>
      </c>
      <c r="D122" s="205">
        <v>0</v>
      </c>
      <c r="E122" s="205">
        <v>0</v>
      </c>
      <c r="F122" s="205">
        <v>0</v>
      </c>
      <c r="G122" s="205">
        <v>0</v>
      </c>
      <c r="H122" s="205">
        <v>0</v>
      </c>
      <c r="I122" s="205">
        <v>0</v>
      </c>
      <c r="J122" s="205">
        <v>0</v>
      </c>
      <c r="K122" s="205">
        <v>0</v>
      </c>
      <c r="L122" s="205">
        <v>0</v>
      </c>
      <c r="M122" s="205">
        <v>0</v>
      </c>
      <c r="N122" s="355">
        <v>0</v>
      </c>
      <c r="O122" s="205">
        <v>0</v>
      </c>
      <c r="P122" s="205">
        <v>0</v>
      </c>
      <c r="Q122" s="205">
        <v>0</v>
      </c>
      <c r="R122" s="205">
        <v>0</v>
      </c>
      <c r="S122" s="205">
        <v>0</v>
      </c>
      <c r="T122" s="205">
        <v>0</v>
      </c>
      <c r="U122" s="205">
        <v>0</v>
      </c>
      <c r="V122" s="205">
        <v>0</v>
      </c>
      <c r="W122" s="205">
        <v>0</v>
      </c>
      <c r="X122" s="205">
        <v>0</v>
      </c>
      <c r="Y122" s="205">
        <v>0</v>
      </c>
      <c r="Z122" s="205">
        <v>0</v>
      </c>
    </row>
    <row r="123" spans="1:26" ht="12.75" hidden="1" customHeight="1">
      <c r="A123" s="107" t="str">
        <f t="shared" si="12"/>
        <v>Продукт 17</v>
      </c>
      <c r="B123" s="233" t="str">
        <f t="shared" si="13"/>
        <v>за 1 шт.</v>
      </c>
      <c r="C123" s="205">
        <v>0</v>
      </c>
      <c r="D123" s="205">
        <v>0</v>
      </c>
      <c r="E123" s="205">
        <v>0</v>
      </c>
      <c r="F123" s="205">
        <v>0</v>
      </c>
      <c r="G123" s="205">
        <v>0</v>
      </c>
      <c r="H123" s="205">
        <v>0</v>
      </c>
      <c r="I123" s="205">
        <v>0</v>
      </c>
      <c r="J123" s="205">
        <v>0</v>
      </c>
      <c r="K123" s="205">
        <v>0</v>
      </c>
      <c r="L123" s="205">
        <v>0</v>
      </c>
      <c r="M123" s="205">
        <v>0</v>
      </c>
      <c r="N123" s="355">
        <v>0</v>
      </c>
      <c r="O123" s="205">
        <v>0</v>
      </c>
      <c r="P123" s="205">
        <v>0</v>
      </c>
      <c r="Q123" s="205">
        <v>0</v>
      </c>
      <c r="R123" s="205">
        <v>0</v>
      </c>
      <c r="S123" s="205">
        <v>0</v>
      </c>
      <c r="T123" s="205">
        <v>0</v>
      </c>
      <c r="U123" s="205">
        <v>0</v>
      </c>
      <c r="V123" s="205">
        <v>0</v>
      </c>
      <c r="W123" s="205">
        <v>0</v>
      </c>
      <c r="X123" s="205">
        <v>0</v>
      </c>
      <c r="Y123" s="205">
        <v>0</v>
      </c>
      <c r="Z123" s="205">
        <v>0</v>
      </c>
    </row>
    <row r="124" spans="1:26" ht="12.75" hidden="1" customHeight="1">
      <c r="A124" s="107" t="str">
        <f t="shared" si="12"/>
        <v>Продукт 18</v>
      </c>
      <c r="B124" s="233" t="str">
        <f t="shared" si="13"/>
        <v>за 1 шт.</v>
      </c>
      <c r="C124" s="205">
        <v>0</v>
      </c>
      <c r="D124" s="205">
        <v>0</v>
      </c>
      <c r="E124" s="205">
        <v>0</v>
      </c>
      <c r="F124" s="205">
        <v>0</v>
      </c>
      <c r="G124" s="205">
        <v>0</v>
      </c>
      <c r="H124" s="205">
        <v>0</v>
      </c>
      <c r="I124" s="205">
        <v>0</v>
      </c>
      <c r="J124" s="205">
        <v>0</v>
      </c>
      <c r="K124" s="205">
        <v>0</v>
      </c>
      <c r="L124" s="205">
        <v>0</v>
      </c>
      <c r="M124" s="205">
        <v>0</v>
      </c>
      <c r="N124" s="355">
        <v>0</v>
      </c>
      <c r="O124" s="205">
        <v>0</v>
      </c>
      <c r="P124" s="205">
        <v>0</v>
      </c>
      <c r="Q124" s="205">
        <v>0</v>
      </c>
      <c r="R124" s="205">
        <v>0</v>
      </c>
      <c r="S124" s="205">
        <v>0</v>
      </c>
      <c r="T124" s="205">
        <v>0</v>
      </c>
      <c r="U124" s="205">
        <v>0</v>
      </c>
      <c r="V124" s="205">
        <v>0</v>
      </c>
      <c r="W124" s="205">
        <v>0</v>
      </c>
      <c r="X124" s="205">
        <v>0</v>
      </c>
      <c r="Y124" s="205">
        <v>0</v>
      </c>
      <c r="Z124" s="205">
        <v>0</v>
      </c>
    </row>
    <row r="125" spans="1:26" ht="12.75" hidden="1" customHeight="1">
      <c r="A125" s="107" t="str">
        <f t="shared" si="12"/>
        <v>Продукт 19</v>
      </c>
      <c r="B125" s="233" t="str">
        <f t="shared" si="13"/>
        <v>за 1 шт.</v>
      </c>
      <c r="C125" s="205">
        <v>0</v>
      </c>
      <c r="D125" s="205">
        <v>0</v>
      </c>
      <c r="E125" s="205">
        <v>0</v>
      </c>
      <c r="F125" s="205">
        <v>0</v>
      </c>
      <c r="G125" s="205">
        <v>0</v>
      </c>
      <c r="H125" s="205">
        <v>0</v>
      </c>
      <c r="I125" s="205">
        <v>0</v>
      </c>
      <c r="J125" s="205">
        <v>0</v>
      </c>
      <c r="K125" s="205">
        <v>0</v>
      </c>
      <c r="L125" s="205">
        <v>0</v>
      </c>
      <c r="M125" s="205">
        <v>0</v>
      </c>
      <c r="N125" s="355">
        <v>0</v>
      </c>
      <c r="O125" s="205">
        <v>0</v>
      </c>
      <c r="P125" s="205">
        <v>0</v>
      </c>
      <c r="Q125" s="205">
        <v>0</v>
      </c>
      <c r="R125" s="205">
        <v>0</v>
      </c>
      <c r="S125" s="205">
        <v>0</v>
      </c>
      <c r="T125" s="205">
        <v>0</v>
      </c>
      <c r="U125" s="205">
        <v>0</v>
      </c>
      <c r="V125" s="205">
        <v>0</v>
      </c>
      <c r="W125" s="205">
        <v>0</v>
      </c>
      <c r="X125" s="205">
        <v>0</v>
      </c>
      <c r="Y125" s="205">
        <v>0</v>
      </c>
      <c r="Z125" s="205">
        <v>0</v>
      </c>
    </row>
    <row r="126" spans="1:26" ht="12.75" hidden="1" customHeight="1">
      <c r="A126" s="107" t="str">
        <f t="shared" si="12"/>
        <v>Продукт 20</v>
      </c>
      <c r="B126" s="233" t="str">
        <f t="shared" si="13"/>
        <v>за 1 шт.</v>
      </c>
      <c r="C126" s="205">
        <v>0</v>
      </c>
      <c r="D126" s="205">
        <v>0</v>
      </c>
      <c r="E126" s="205">
        <v>0</v>
      </c>
      <c r="F126" s="205">
        <v>0</v>
      </c>
      <c r="G126" s="205">
        <v>0</v>
      </c>
      <c r="H126" s="205">
        <v>0</v>
      </c>
      <c r="I126" s="205">
        <v>0</v>
      </c>
      <c r="J126" s="205">
        <v>0</v>
      </c>
      <c r="K126" s="205">
        <v>0</v>
      </c>
      <c r="L126" s="205">
        <v>0</v>
      </c>
      <c r="M126" s="205">
        <v>0</v>
      </c>
      <c r="N126" s="355">
        <v>0</v>
      </c>
      <c r="O126" s="205">
        <v>0</v>
      </c>
      <c r="P126" s="205">
        <v>0</v>
      </c>
      <c r="Q126" s="205">
        <v>0</v>
      </c>
      <c r="R126" s="205">
        <v>0</v>
      </c>
      <c r="S126" s="205">
        <v>0</v>
      </c>
      <c r="T126" s="205">
        <v>0</v>
      </c>
      <c r="U126" s="205">
        <v>0</v>
      </c>
      <c r="V126" s="205">
        <v>0</v>
      </c>
      <c r="W126" s="205">
        <v>0</v>
      </c>
      <c r="X126" s="205">
        <v>0</v>
      </c>
      <c r="Y126" s="205">
        <v>0</v>
      </c>
      <c r="Z126" s="205">
        <v>0</v>
      </c>
    </row>
    <row r="127" spans="1:26" ht="12.75" customHeight="1">
      <c r="A127" s="107"/>
      <c r="B127" s="124"/>
      <c r="C127" s="136"/>
      <c r="D127" s="136"/>
      <c r="E127" s="136"/>
      <c r="F127" s="136"/>
      <c r="G127" s="136"/>
      <c r="H127" s="136"/>
      <c r="I127" s="136"/>
      <c r="J127" s="136"/>
      <c r="K127" s="136"/>
      <c r="L127" s="136"/>
      <c r="M127" s="136"/>
      <c r="N127" s="136"/>
    </row>
    <row r="128" spans="1:26" s="102" customFormat="1" ht="12.75" customHeight="1">
      <c r="A128" s="100" t="s">
        <v>9</v>
      </c>
      <c r="B128" s="123"/>
      <c r="C128" s="137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8"/>
    </row>
    <row r="129" spans="1:26" ht="12.75" customHeight="1" thickBot="1">
      <c r="A129" s="107"/>
      <c r="B129" s="124"/>
      <c r="C129" s="136"/>
      <c r="D129" s="136"/>
      <c r="E129" s="136"/>
      <c r="F129" s="136"/>
      <c r="G129" s="136"/>
      <c r="H129" s="136"/>
      <c r="I129" s="136"/>
      <c r="J129" s="136"/>
      <c r="K129" s="136"/>
      <c r="L129" s="136"/>
      <c r="M129" s="136"/>
      <c r="N129" s="136"/>
    </row>
    <row r="130" spans="1:26" ht="12.75" customHeight="1" thickBot="1">
      <c r="A130" s="139" t="s">
        <v>10</v>
      </c>
      <c r="B130" s="242" t="s">
        <v>230</v>
      </c>
      <c r="D130" s="124"/>
      <c r="E130" s="124"/>
      <c r="F130" s="124"/>
      <c r="G130" s="124"/>
      <c r="H130" s="124"/>
      <c r="I130" s="124"/>
      <c r="J130" s="124"/>
      <c r="K130" s="124"/>
      <c r="L130" s="124"/>
      <c r="M130" s="124"/>
      <c r="N130" s="124"/>
    </row>
    <row r="131" spans="1:26" ht="12.75" customHeight="1">
      <c r="A131" s="140" t="s">
        <v>11</v>
      </c>
      <c r="B131" s="202"/>
      <c r="D131" s="241"/>
      <c r="E131" s="241"/>
      <c r="F131" s="241"/>
      <c r="G131" s="241"/>
      <c r="H131" s="241"/>
      <c r="I131" s="241"/>
      <c r="J131" s="241"/>
      <c r="K131" s="241"/>
      <c r="L131" s="241"/>
      <c r="M131" s="241"/>
      <c r="N131" s="241"/>
    </row>
    <row r="132" spans="1:26" ht="12.75" customHeight="1">
      <c r="A132" s="140" t="s">
        <v>12</v>
      </c>
      <c r="B132" s="203">
        <v>0</v>
      </c>
      <c r="D132" s="241"/>
      <c r="E132" s="241"/>
      <c r="F132" s="241"/>
      <c r="G132" s="241"/>
      <c r="H132" s="241"/>
      <c r="I132" s="241"/>
      <c r="J132" s="241"/>
      <c r="K132" s="241"/>
      <c r="L132" s="241"/>
      <c r="M132" s="241"/>
      <c r="N132" s="241"/>
    </row>
    <row r="133" spans="1:26" ht="12.75" customHeight="1" thickBot="1">
      <c r="A133" s="140" t="s">
        <v>13</v>
      </c>
      <c r="B133" s="206">
        <v>0</v>
      </c>
      <c r="D133" s="241"/>
      <c r="E133" s="241"/>
      <c r="F133" s="241"/>
      <c r="G133" s="241"/>
      <c r="H133" s="241"/>
      <c r="I133" s="241"/>
      <c r="J133" s="241"/>
      <c r="K133" s="241"/>
      <c r="L133" s="241"/>
      <c r="M133" s="241"/>
      <c r="N133" s="241"/>
    </row>
    <row r="134" spans="1:26" ht="12.75" customHeight="1" thickBot="1"/>
    <row r="135" spans="1:26" ht="12.75" customHeight="1" thickBot="1">
      <c r="A135" s="132" t="s">
        <v>221</v>
      </c>
      <c r="B135" s="141" t="s">
        <v>8</v>
      </c>
      <c r="C135" s="143" t="str">
        <f t="shared" ref="C135:N135" si="14">C40</f>
        <v>1/2027</v>
      </c>
      <c r="D135" s="143" t="str">
        <f t="shared" si="14"/>
        <v>2/2027</v>
      </c>
      <c r="E135" s="143" t="str">
        <f t="shared" si="14"/>
        <v>3/2027</v>
      </c>
      <c r="F135" s="143" t="str">
        <f t="shared" si="14"/>
        <v>4/2027</v>
      </c>
      <c r="G135" s="143" t="str">
        <f t="shared" si="14"/>
        <v>5/2027</v>
      </c>
      <c r="H135" s="143" t="str">
        <f t="shared" si="14"/>
        <v>6/2027</v>
      </c>
      <c r="I135" s="143" t="str">
        <f t="shared" si="14"/>
        <v>7/2027</v>
      </c>
      <c r="J135" s="143" t="str">
        <f t="shared" si="14"/>
        <v>8/2027</v>
      </c>
      <c r="K135" s="143" t="str">
        <f t="shared" si="14"/>
        <v>9/2027</v>
      </c>
      <c r="L135" s="143" t="str">
        <f t="shared" si="14"/>
        <v>10/2027</v>
      </c>
      <c r="M135" s="143" t="str">
        <f t="shared" si="14"/>
        <v>11/2027</v>
      </c>
      <c r="N135" s="143" t="str">
        <f t="shared" si="14"/>
        <v>12/2027</v>
      </c>
      <c r="O135" s="143" t="str">
        <f t="shared" ref="O135:Z135" si="15">O40</f>
        <v>1/2028</v>
      </c>
      <c r="P135" s="143" t="str">
        <f t="shared" si="15"/>
        <v>2/2028</v>
      </c>
      <c r="Q135" s="143" t="str">
        <f t="shared" si="15"/>
        <v>3/2028</v>
      </c>
      <c r="R135" s="143" t="str">
        <f t="shared" si="15"/>
        <v>4/2028</v>
      </c>
      <c r="S135" s="143" t="str">
        <f t="shared" si="15"/>
        <v>5/2028</v>
      </c>
      <c r="T135" s="143" t="str">
        <f t="shared" si="15"/>
        <v>6/2028</v>
      </c>
      <c r="U135" s="143" t="str">
        <f t="shared" si="15"/>
        <v>7/2028</v>
      </c>
      <c r="V135" s="143" t="str">
        <f t="shared" si="15"/>
        <v>8/2028</v>
      </c>
      <c r="W135" s="143" t="str">
        <f t="shared" si="15"/>
        <v>9/2028</v>
      </c>
      <c r="X135" s="143" t="str">
        <f t="shared" si="15"/>
        <v>10/2028</v>
      </c>
      <c r="Y135" s="143" t="str">
        <f t="shared" si="15"/>
        <v>11/2028</v>
      </c>
      <c r="Z135" s="143" t="str">
        <f t="shared" si="15"/>
        <v>12/2028</v>
      </c>
    </row>
    <row r="136" spans="1:26" ht="12.75" customHeight="1">
      <c r="A136" s="107" t="s">
        <v>245</v>
      </c>
      <c r="B136" s="142"/>
      <c r="C136" s="209">
        <v>150000</v>
      </c>
      <c r="D136" s="209">
        <v>150000</v>
      </c>
      <c r="E136" s="209">
        <v>150000</v>
      </c>
      <c r="F136" s="209">
        <v>150000</v>
      </c>
      <c r="G136" s="209">
        <v>150000</v>
      </c>
      <c r="H136" s="209">
        <v>150000</v>
      </c>
      <c r="I136" s="209"/>
      <c r="J136" s="209"/>
      <c r="K136" s="209"/>
      <c r="L136" s="209"/>
      <c r="M136" s="209"/>
      <c r="N136" s="209"/>
      <c r="O136" s="209">
        <v>0</v>
      </c>
      <c r="P136" s="209">
        <v>0</v>
      </c>
      <c r="Q136" s="209">
        <v>0</v>
      </c>
      <c r="R136" s="209">
        <v>0</v>
      </c>
      <c r="S136" s="209">
        <v>0</v>
      </c>
      <c r="T136" s="209">
        <v>0</v>
      </c>
      <c r="U136" s="209">
        <v>0</v>
      </c>
      <c r="V136" s="209">
        <v>0</v>
      </c>
      <c r="W136" s="209">
        <v>0</v>
      </c>
      <c r="X136" s="209">
        <v>0</v>
      </c>
      <c r="Y136" s="209">
        <v>0</v>
      </c>
      <c r="Z136" s="209">
        <v>0</v>
      </c>
    </row>
    <row r="137" spans="1:26" ht="12.75" customHeight="1">
      <c r="A137" s="107" t="s">
        <v>246</v>
      </c>
      <c r="B137" s="142" t="s">
        <v>14</v>
      </c>
      <c r="C137" s="210">
        <v>0</v>
      </c>
      <c r="D137" s="210">
        <v>0</v>
      </c>
      <c r="E137" s="210">
        <v>0</v>
      </c>
      <c r="F137" s="210">
        <v>0</v>
      </c>
      <c r="G137" s="210">
        <v>0</v>
      </c>
      <c r="H137" s="210">
        <v>0</v>
      </c>
      <c r="I137" s="210">
        <v>0</v>
      </c>
      <c r="J137" s="210">
        <v>0</v>
      </c>
      <c r="K137" s="210">
        <v>0</v>
      </c>
      <c r="L137" s="210">
        <v>0</v>
      </c>
      <c r="M137" s="210">
        <v>0</v>
      </c>
      <c r="N137" s="210">
        <v>0</v>
      </c>
      <c r="O137" s="210">
        <v>0</v>
      </c>
      <c r="P137" s="210">
        <v>0</v>
      </c>
      <c r="Q137" s="210">
        <v>0</v>
      </c>
      <c r="R137" s="210">
        <v>0</v>
      </c>
      <c r="S137" s="210">
        <v>0</v>
      </c>
      <c r="T137" s="210">
        <v>0</v>
      </c>
      <c r="U137" s="210">
        <v>0</v>
      </c>
      <c r="V137" s="210">
        <v>0</v>
      </c>
      <c r="W137" s="210">
        <v>0</v>
      </c>
      <c r="X137" s="210">
        <v>0</v>
      </c>
      <c r="Y137" s="210">
        <v>0</v>
      </c>
      <c r="Z137" s="210">
        <v>0</v>
      </c>
    </row>
    <row r="138" spans="1:26" ht="12.75" customHeight="1">
      <c r="A138" s="140" t="s">
        <v>338</v>
      </c>
      <c r="C138" s="208">
        <v>0</v>
      </c>
      <c r="D138" s="208">
        <v>0</v>
      </c>
      <c r="E138" s="208">
        <v>0</v>
      </c>
      <c r="F138" s="208">
        <v>0</v>
      </c>
      <c r="G138" s="208">
        <v>0</v>
      </c>
      <c r="H138" s="208">
        <v>0</v>
      </c>
      <c r="I138" s="208">
        <v>0</v>
      </c>
      <c r="J138" s="208">
        <v>0</v>
      </c>
      <c r="K138" s="208">
        <v>0</v>
      </c>
      <c r="L138" s="208">
        <v>0</v>
      </c>
      <c r="M138" s="208">
        <v>0</v>
      </c>
      <c r="N138" s="208">
        <v>0</v>
      </c>
      <c r="O138" s="208">
        <v>0</v>
      </c>
      <c r="P138" s="208">
        <v>0</v>
      </c>
      <c r="Q138" s="208">
        <v>0</v>
      </c>
      <c r="R138" s="208">
        <v>0</v>
      </c>
      <c r="S138" s="208">
        <v>0</v>
      </c>
      <c r="T138" s="208">
        <v>0</v>
      </c>
      <c r="U138" s="208">
        <v>0</v>
      </c>
      <c r="V138" s="208">
        <v>0</v>
      </c>
      <c r="W138" s="208">
        <v>0</v>
      </c>
      <c r="X138" s="208">
        <v>0</v>
      </c>
      <c r="Y138" s="208">
        <v>0</v>
      </c>
      <c r="Z138" s="208">
        <v>0</v>
      </c>
    </row>
    <row r="139" spans="1:26" ht="12.75" customHeight="1">
      <c r="A139" s="140" t="s">
        <v>256</v>
      </c>
      <c r="C139" s="208">
        <v>0</v>
      </c>
      <c r="D139" s="208">
        <v>0</v>
      </c>
      <c r="E139" s="208">
        <v>0</v>
      </c>
      <c r="F139" s="208">
        <v>0</v>
      </c>
      <c r="G139" s="208">
        <v>0</v>
      </c>
      <c r="H139" s="208">
        <v>0</v>
      </c>
      <c r="I139" s="208"/>
      <c r="J139" s="208"/>
      <c r="K139" s="208"/>
      <c r="L139" s="208"/>
      <c r="M139" s="208"/>
      <c r="N139" s="208"/>
      <c r="O139" s="208">
        <v>200000</v>
      </c>
      <c r="P139" s="208">
        <v>200000</v>
      </c>
      <c r="Q139" s="208">
        <v>200000</v>
      </c>
      <c r="R139" s="208">
        <v>200000</v>
      </c>
      <c r="S139" s="208">
        <v>200000</v>
      </c>
      <c r="T139" s="208">
        <v>200000</v>
      </c>
      <c r="U139" s="208">
        <v>200000</v>
      </c>
      <c r="V139" s="208">
        <v>200000</v>
      </c>
      <c r="W139" s="208">
        <v>200000</v>
      </c>
      <c r="X139" s="208">
        <v>200000</v>
      </c>
      <c r="Y139" s="208">
        <v>200000</v>
      </c>
      <c r="Z139" s="208">
        <v>200000</v>
      </c>
    </row>
    <row r="140" spans="1:26" ht="12.75" customHeight="1">
      <c r="A140" s="140" t="s">
        <v>255</v>
      </c>
      <c r="C140" s="208">
        <v>0</v>
      </c>
      <c r="D140" s="208">
        <v>0</v>
      </c>
      <c r="E140" s="208">
        <v>30000</v>
      </c>
      <c r="F140" s="208">
        <v>100000</v>
      </c>
      <c r="G140" s="208">
        <v>150000</v>
      </c>
      <c r="H140" s="208">
        <v>150000</v>
      </c>
      <c r="I140" s="208"/>
      <c r="J140" s="208"/>
      <c r="K140" s="208"/>
      <c r="L140" s="208"/>
      <c r="M140" s="208"/>
      <c r="N140" s="208"/>
      <c r="O140" s="208">
        <v>0</v>
      </c>
      <c r="P140" s="208">
        <v>0</v>
      </c>
      <c r="Q140" s="208">
        <v>0</v>
      </c>
      <c r="R140" s="208">
        <v>0</v>
      </c>
      <c r="S140" s="208">
        <v>0</v>
      </c>
      <c r="T140" s="208">
        <v>0</v>
      </c>
      <c r="U140" s="208">
        <v>0</v>
      </c>
      <c r="V140" s="208">
        <v>0</v>
      </c>
      <c r="W140" s="208">
        <v>0</v>
      </c>
      <c r="X140" s="208">
        <v>0</v>
      </c>
      <c r="Y140" s="208">
        <v>0</v>
      </c>
      <c r="Z140" s="208">
        <v>0</v>
      </c>
    </row>
    <row r="141" spans="1:26" ht="12.75" customHeight="1" thickBot="1">
      <c r="A141" s="140" t="s">
        <v>15</v>
      </c>
      <c r="C141" s="211">
        <v>0</v>
      </c>
      <c r="D141" s="211">
        <v>0</v>
      </c>
      <c r="E141" s="211">
        <v>0</v>
      </c>
      <c r="F141" s="211">
        <v>6000</v>
      </c>
      <c r="G141" s="211">
        <v>14000</v>
      </c>
      <c r="H141" s="211">
        <v>24000</v>
      </c>
      <c r="I141" s="211"/>
      <c r="J141" s="211"/>
      <c r="K141" s="211"/>
      <c r="L141" s="211"/>
      <c r="M141" s="211"/>
      <c r="N141" s="211"/>
      <c r="O141" s="211">
        <v>0</v>
      </c>
      <c r="P141" s="211">
        <v>0</v>
      </c>
      <c r="Q141" s="211">
        <v>0</v>
      </c>
      <c r="R141" s="211">
        <v>0</v>
      </c>
      <c r="S141" s="211">
        <v>0</v>
      </c>
      <c r="T141" s="211">
        <v>0</v>
      </c>
      <c r="U141" s="211">
        <v>0</v>
      </c>
      <c r="V141" s="211">
        <v>0</v>
      </c>
      <c r="W141" s="211">
        <v>0</v>
      </c>
      <c r="X141" s="211">
        <v>0</v>
      </c>
      <c r="Y141" s="211">
        <v>0</v>
      </c>
      <c r="Z141" s="211">
        <v>0</v>
      </c>
    </row>
    <row r="142" spans="1:26" ht="12.75" customHeight="1">
      <c r="A142" s="140"/>
      <c r="C142" s="144"/>
      <c r="D142" s="144"/>
      <c r="E142" s="144"/>
      <c r="F142" s="144"/>
      <c r="G142" s="144"/>
      <c r="H142" s="144"/>
      <c r="I142" s="144"/>
      <c r="J142" s="144"/>
      <c r="K142" s="144"/>
      <c r="L142" s="144"/>
      <c r="M142" s="144"/>
      <c r="N142" s="144"/>
    </row>
    <row r="143" spans="1:26" s="102" customFormat="1" ht="12.75" customHeight="1">
      <c r="A143" s="100" t="s">
        <v>16</v>
      </c>
      <c r="B143" s="101"/>
      <c r="C143" s="145"/>
      <c r="D143" s="145"/>
      <c r="E143" s="145"/>
      <c r="F143" s="145"/>
      <c r="G143" s="145"/>
      <c r="H143" s="145"/>
      <c r="I143" s="145"/>
      <c r="J143" s="145"/>
      <c r="K143" s="145"/>
      <c r="L143" s="145"/>
      <c r="M143" s="145"/>
      <c r="N143" s="146"/>
    </row>
    <row r="144" spans="1:26" ht="12.75" customHeight="1" outlineLevel="1" thickBot="1"/>
    <row r="145" spans="1:14" ht="12.75" customHeight="1" outlineLevel="1" thickBot="1">
      <c r="A145" s="132" t="s">
        <v>17</v>
      </c>
      <c r="B145" s="147" t="s">
        <v>231</v>
      </c>
    </row>
    <row r="146" spans="1:14" ht="12.75" customHeight="1" outlineLevel="1">
      <c r="A146" s="140" t="s">
        <v>18</v>
      </c>
      <c r="B146" s="212">
        <v>0</v>
      </c>
    </row>
    <row r="147" spans="1:14" ht="12.75" customHeight="1" outlineLevel="1">
      <c r="A147" s="140" t="s">
        <v>229</v>
      </c>
      <c r="B147" s="212">
        <v>0</v>
      </c>
    </row>
    <row r="148" spans="1:14" ht="12.75" customHeight="1" outlineLevel="1">
      <c r="A148" s="140" t="s">
        <v>19</v>
      </c>
      <c r="B148" s="213">
        <v>0</v>
      </c>
    </row>
    <row r="149" spans="1:14" ht="12.75" customHeight="1" outlineLevel="1">
      <c r="A149" s="140" t="s">
        <v>206</v>
      </c>
      <c r="B149" s="213">
        <v>0</v>
      </c>
    </row>
    <row r="150" spans="1:14" ht="12.75" customHeight="1" outlineLevel="1" thickBot="1">
      <c r="A150" s="140" t="s">
        <v>20</v>
      </c>
      <c r="B150" s="214">
        <v>0</v>
      </c>
    </row>
    <row r="151" spans="1:14" ht="12.75" customHeight="1" outlineLevel="1" thickBot="1">
      <c r="B151" s="148"/>
    </row>
    <row r="152" spans="1:14" ht="12.75" customHeight="1" outlineLevel="1" thickBot="1">
      <c r="A152" s="132" t="s">
        <v>21</v>
      </c>
      <c r="B152" s="149" t="s">
        <v>14</v>
      </c>
    </row>
    <row r="153" spans="1:14" ht="12.75" customHeight="1" outlineLevel="1">
      <c r="A153" s="140" t="s">
        <v>22</v>
      </c>
      <c r="B153" s="215">
        <v>0.05</v>
      </c>
    </row>
    <row r="154" spans="1:14" ht="12.75" customHeight="1" outlineLevel="1">
      <c r="A154" s="140" t="s">
        <v>23</v>
      </c>
      <c r="B154" s="216">
        <v>0.33</v>
      </c>
    </row>
    <row r="155" spans="1:14" ht="12.75" customHeight="1" outlineLevel="1">
      <c r="A155" s="140" t="s">
        <v>24</v>
      </c>
      <c r="B155" s="216">
        <v>0.1</v>
      </c>
    </row>
    <row r="156" spans="1:14" ht="12.75" customHeight="1" outlineLevel="1">
      <c r="A156" s="140" t="s">
        <v>25</v>
      </c>
      <c r="B156" s="216">
        <v>0.2</v>
      </c>
    </row>
    <row r="157" spans="1:14" ht="12.75" customHeight="1" outlineLevel="1" thickBot="1">
      <c r="A157" s="140" t="s">
        <v>26</v>
      </c>
      <c r="B157" s="217">
        <v>0.2</v>
      </c>
    </row>
    <row r="158" spans="1:14" ht="12.75" customHeight="1">
      <c r="A158" s="140"/>
      <c r="B158" s="150"/>
    </row>
    <row r="159" spans="1:14" s="102" customFormat="1" ht="12.75" customHeight="1">
      <c r="A159" s="100" t="s">
        <v>27</v>
      </c>
      <c r="B159" s="151"/>
      <c r="N159" s="103"/>
    </row>
    <row r="160" spans="1:14" ht="12.75" customHeight="1" outlineLevel="1" thickBot="1">
      <c r="B160" s="148"/>
      <c r="C160" s="106"/>
    </row>
    <row r="161" spans="1:3" ht="12.75" customHeight="1" outlineLevel="1">
      <c r="A161" s="105" t="s">
        <v>3</v>
      </c>
      <c r="B161" s="255">
        <v>70</v>
      </c>
      <c r="C161" s="106" t="s">
        <v>253</v>
      </c>
    </row>
    <row r="162" spans="1:3" ht="12.75" customHeight="1" outlineLevel="1" thickBot="1">
      <c r="B162" s="148"/>
      <c r="C162" s="106"/>
    </row>
    <row r="163" spans="1:3" ht="12.75" customHeight="1" outlineLevel="1" thickBot="1">
      <c r="A163" s="132" t="s">
        <v>28</v>
      </c>
      <c r="B163" s="152" t="s">
        <v>29</v>
      </c>
      <c r="C163" s="153" t="s">
        <v>8</v>
      </c>
    </row>
    <row r="164" spans="1:3" ht="12.75" customHeight="1" outlineLevel="1">
      <c r="A164" s="76" t="s">
        <v>30</v>
      </c>
      <c r="B164" s="154">
        <f>SUM(B165:B169)</f>
        <v>900000</v>
      </c>
      <c r="C164" s="155">
        <f>SUM(C165:C169)</f>
        <v>12857.142857142859</v>
      </c>
    </row>
    <row r="165" spans="1:3" ht="12.75" customHeight="1" outlineLevel="1">
      <c r="A165" s="140" t="s">
        <v>31</v>
      </c>
      <c r="B165" s="218">
        <v>0</v>
      </c>
      <c r="C165" s="156">
        <f>B165/B161</f>
        <v>0</v>
      </c>
    </row>
    <row r="166" spans="1:3" ht="12.75" customHeight="1" outlineLevel="1">
      <c r="A166" s="140" t="s">
        <v>32</v>
      </c>
      <c r="B166" s="218">
        <v>0</v>
      </c>
      <c r="C166" s="156">
        <f>B166/B161</f>
        <v>0</v>
      </c>
    </row>
    <row r="167" spans="1:3" ht="12.75" customHeight="1" outlineLevel="1">
      <c r="A167" s="140" t="s">
        <v>33</v>
      </c>
      <c r="B167" s="218">
        <v>0</v>
      </c>
      <c r="C167" s="156">
        <f>B167/B161</f>
        <v>0</v>
      </c>
    </row>
    <row r="168" spans="1:3" ht="12.75" customHeight="1" outlineLevel="1">
      <c r="A168" s="140" t="s">
        <v>34</v>
      </c>
      <c r="B168" s="218">
        <v>400000</v>
      </c>
      <c r="C168" s="156">
        <f>B168/B161</f>
        <v>5714.2857142857147</v>
      </c>
    </row>
    <row r="169" spans="1:3" ht="12.75" customHeight="1" outlineLevel="1">
      <c r="A169" s="140" t="s">
        <v>35</v>
      </c>
      <c r="B169" s="218">
        <v>500000</v>
      </c>
      <c r="C169" s="156">
        <f>B169/B161</f>
        <v>7142.8571428571431</v>
      </c>
    </row>
    <row r="170" spans="1:3" ht="12.75" customHeight="1" outlineLevel="1">
      <c r="A170" s="76" t="s">
        <v>37</v>
      </c>
      <c r="B170" s="218">
        <v>0</v>
      </c>
      <c r="C170" s="157">
        <f>B170/B161</f>
        <v>0</v>
      </c>
    </row>
    <row r="171" spans="1:3" ht="12.75" customHeight="1" outlineLevel="1">
      <c r="A171" s="76" t="s">
        <v>38</v>
      </c>
      <c r="B171" s="218">
        <v>0</v>
      </c>
      <c r="C171" s="157">
        <f>B171/B161</f>
        <v>0</v>
      </c>
    </row>
    <row r="172" spans="1:3" ht="12.75" customHeight="1" outlineLevel="1" thickBot="1">
      <c r="A172" s="76" t="s">
        <v>39</v>
      </c>
      <c r="B172" s="158">
        <f>B164+B170+B171</f>
        <v>900000</v>
      </c>
      <c r="C172" s="159">
        <f>C164+C170+C171</f>
        <v>12857.142857142859</v>
      </c>
    </row>
    <row r="173" spans="1:3" ht="12.75" customHeight="1" outlineLevel="1" thickBot="1">
      <c r="A173" s="132" t="s">
        <v>40</v>
      </c>
      <c r="B173" s="160"/>
      <c r="C173" s="161"/>
    </row>
    <row r="174" spans="1:3" ht="12.75" customHeight="1" outlineLevel="1">
      <c r="A174" s="140" t="s">
        <v>41</v>
      </c>
      <c r="B174" s="219">
        <v>6000000</v>
      </c>
      <c r="C174" s="162">
        <f>B174/B161</f>
        <v>85714.28571428571</v>
      </c>
    </row>
    <row r="175" spans="1:3" ht="12.75" customHeight="1" outlineLevel="1">
      <c r="A175" s="140" t="s">
        <v>42</v>
      </c>
      <c r="B175" s="218">
        <v>0</v>
      </c>
      <c r="C175" s="163">
        <f>B175/B161</f>
        <v>0</v>
      </c>
    </row>
    <row r="176" spans="1:3" ht="12.75" customHeight="1" outlineLevel="1">
      <c r="A176" s="140" t="s">
        <v>43</v>
      </c>
      <c r="B176" s="218">
        <v>0</v>
      </c>
      <c r="C176" s="163">
        <f>B176/B161</f>
        <v>0</v>
      </c>
    </row>
    <row r="177" spans="1:4" ht="12.75" customHeight="1" outlineLevel="1">
      <c r="A177" s="140" t="s">
        <v>44</v>
      </c>
      <c r="B177" s="218"/>
      <c r="C177" s="163">
        <f>B177/B161</f>
        <v>0</v>
      </c>
    </row>
    <row r="178" spans="1:4" ht="12.75" customHeight="1" outlineLevel="1">
      <c r="A178" s="140" t="s">
        <v>45</v>
      </c>
      <c r="B178" s="218">
        <v>0</v>
      </c>
      <c r="C178" s="163">
        <f>B178/B161</f>
        <v>0</v>
      </c>
    </row>
    <row r="179" spans="1:4" ht="12.75" customHeight="1" outlineLevel="1">
      <c r="A179" s="140" t="s">
        <v>46</v>
      </c>
      <c r="B179" s="218">
        <v>0</v>
      </c>
      <c r="C179" s="163">
        <f>B179/B161</f>
        <v>0</v>
      </c>
    </row>
    <row r="180" spans="1:4" ht="12.75" customHeight="1" outlineLevel="1" thickBot="1">
      <c r="A180" s="140" t="s">
        <v>39</v>
      </c>
      <c r="B180" s="164">
        <f>SUM(B174:B179)</f>
        <v>6000000</v>
      </c>
      <c r="C180" s="165">
        <f>SUM(C174:C179)</f>
        <v>85714.28571428571</v>
      </c>
    </row>
    <row r="181" spans="1:4" ht="12.75" customHeight="1" outlineLevel="1" thickBot="1">
      <c r="A181" s="140"/>
      <c r="B181" s="107"/>
      <c r="C181" s="166"/>
    </row>
    <row r="182" spans="1:4" ht="12.75" customHeight="1" outlineLevel="1" thickBot="1">
      <c r="A182" s="105" t="s">
        <v>47</v>
      </c>
      <c r="B182" s="167">
        <f>B172+B180</f>
        <v>6900000</v>
      </c>
      <c r="C182" s="168">
        <f>C172+C180</f>
        <v>98571.428571428565</v>
      </c>
      <c r="D182" s="169"/>
    </row>
    <row r="183" spans="1:4" ht="12.75" customHeight="1" outlineLevel="1">
      <c r="B183" s="107"/>
      <c r="C183" s="170"/>
    </row>
    <row r="184" spans="1:4" ht="12.75" customHeight="1" outlineLevel="1" thickBot="1">
      <c r="A184" s="132" t="s">
        <v>48</v>
      </c>
      <c r="B184" s="160"/>
      <c r="C184" s="171"/>
    </row>
    <row r="185" spans="1:4" ht="12.75" customHeight="1" outlineLevel="1" thickBot="1">
      <c r="A185" s="140" t="s">
        <v>49</v>
      </c>
      <c r="B185" s="220">
        <v>6900000</v>
      </c>
      <c r="C185" s="172">
        <f>B185/B161</f>
        <v>98571.428571428565</v>
      </c>
    </row>
    <row r="186" spans="1:4" ht="12.75" customHeight="1" outlineLevel="1" thickBot="1">
      <c r="A186" s="132" t="s">
        <v>50</v>
      </c>
      <c r="B186" s="160"/>
      <c r="C186" s="171"/>
    </row>
    <row r="187" spans="1:4" ht="12.75" customHeight="1" outlineLevel="1">
      <c r="A187" s="221" t="s">
        <v>51</v>
      </c>
      <c r="B187" s="219">
        <v>0</v>
      </c>
      <c r="C187" s="162">
        <f>B187/B161</f>
        <v>0</v>
      </c>
    </row>
    <row r="188" spans="1:4" ht="12.75" customHeight="1" outlineLevel="1">
      <c r="A188" s="221" t="s">
        <v>52</v>
      </c>
      <c r="B188" s="218">
        <v>0</v>
      </c>
      <c r="C188" s="163">
        <f>B188/B161</f>
        <v>0</v>
      </c>
    </row>
    <row r="189" spans="1:4" ht="12.75" customHeight="1" outlineLevel="1">
      <c r="A189" s="221" t="s">
        <v>53</v>
      </c>
      <c r="B189" s="218">
        <v>0</v>
      </c>
      <c r="C189" s="163">
        <f>B189/B161</f>
        <v>0</v>
      </c>
    </row>
    <row r="190" spans="1:4" ht="12.75" customHeight="1" outlineLevel="1" thickBot="1">
      <c r="A190" s="140" t="s">
        <v>39</v>
      </c>
      <c r="B190" s="164">
        <f>SUM(B187:B189)</f>
        <v>0</v>
      </c>
      <c r="C190" s="165">
        <f>SUM(C187:C189)</f>
        <v>0</v>
      </c>
    </row>
    <row r="191" spans="1:4" ht="12.75" customHeight="1" outlineLevel="1" thickBot="1">
      <c r="A191" s="132" t="s">
        <v>54</v>
      </c>
      <c r="B191" s="160"/>
      <c r="C191" s="173"/>
    </row>
    <row r="192" spans="1:4" ht="12.75" customHeight="1" outlineLevel="1">
      <c r="A192" s="140" t="s">
        <v>55</v>
      </c>
      <c r="B192" s="219">
        <v>0</v>
      </c>
      <c r="C192" s="162">
        <f>B192/B161</f>
        <v>0</v>
      </c>
    </row>
    <row r="193" spans="1:26" ht="12.75" customHeight="1" outlineLevel="1">
      <c r="A193" s="140" t="s">
        <v>56</v>
      </c>
      <c r="B193" s="218"/>
      <c r="C193" s="163">
        <f>B193/B161</f>
        <v>0</v>
      </c>
    </row>
    <row r="194" spans="1:26" ht="12.75" customHeight="1" outlineLevel="1">
      <c r="A194" s="140" t="s">
        <v>57</v>
      </c>
      <c r="B194" s="218">
        <v>0</v>
      </c>
      <c r="C194" s="163">
        <f>B194/B161</f>
        <v>0</v>
      </c>
    </row>
    <row r="195" spans="1:26" ht="12.75" customHeight="1" outlineLevel="1">
      <c r="A195" s="140" t="s">
        <v>58</v>
      </c>
      <c r="B195" s="218">
        <v>0</v>
      </c>
      <c r="C195" s="163">
        <f>B195/B161</f>
        <v>0</v>
      </c>
    </row>
    <row r="196" spans="1:26" ht="12.75" customHeight="1" outlineLevel="1" thickBot="1">
      <c r="A196" s="140" t="s">
        <v>39</v>
      </c>
      <c r="B196" s="164">
        <f>SUM(B192:B195)</f>
        <v>0</v>
      </c>
      <c r="C196" s="165">
        <f>SUM(C192:C195)</f>
        <v>0</v>
      </c>
    </row>
    <row r="197" spans="1:26" ht="12.75" customHeight="1" outlineLevel="1" thickBot="1">
      <c r="B197" s="107"/>
      <c r="C197" s="170"/>
    </row>
    <row r="198" spans="1:26" ht="12.75" customHeight="1" outlineLevel="1" thickBot="1">
      <c r="A198" s="105" t="s">
        <v>140</v>
      </c>
      <c r="B198" s="167">
        <f>B185+B190+B196</f>
        <v>6900000</v>
      </c>
      <c r="C198" s="168">
        <f>C185+C190+C196</f>
        <v>98571.428571428565</v>
      </c>
      <c r="D198" s="169"/>
    </row>
    <row r="199" spans="1:26" ht="12.75" customHeight="1">
      <c r="A199" s="174"/>
      <c r="B199" s="175"/>
    </row>
    <row r="200" spans="1:26" s="102" customFormat="1" ht="12.75" customHeight="1">
      <c r="A200" s="100" t="s">
        <v>209</v>
      </c>
      <c r="B200" s="176"/>
      <c r="N200" s="103"/>
    </row>
    <row r="201" spans="1:26" ht="12.75" customHeight="1" thickBot="1">
      <c r="A201" s="174"/>
      <c r="B201" s="166"/>
    </row>
    <row r="202" spans="1:26" ht="12.75" customHeight="1" thickBot="1">
      <c r="A202" s="132" t="s">
        <v>59</v>
      </c>
      <c r="B202" s="177" t="s">
        <v>8</v>
      </c>
      <c r="C202" s="134" t="str">
        <f t="shared" ref="C202:N202" si="16">C40</f>
        <v>1/2027</v>
      </c>
      <c r="D202" s="134" t="str">
        <f t="shared" si="16"/>
        <v>2/2027</v>
      </c>
      <c r="E202" s="134" t="str">
        <f t="shared" si="16"/>
        <v>3/2027</v>
      </c>
      <c r="F202" s="134" t="str">
        <f t="shared" si="16"/>
        <v>4/2027</v>
      </c>
      <c r="G202" s="134" t="str">
        <f t="shared" si="16"/>
        <v>5/2027</v>
      </c>
      <c r="H202" s="134" t="str">
        <f t="shared" si="16"/>
        <v>6/2027</v>
      </c>
      <c r="I202" s="134" t="str">
        <f t="shared" si="16"/>
        <v>7/2027</v>
      </c>
      <c r="J202" s="134" t="str">
        <f t="shared" si="16"/>
        <v>8/2027</v>
      </c>
      <c r="K202" s="134" t="str">
        <f t="shared" si="16"/>
        <v>9/2027</v>
      </c>
      <c r="L202" s="134" t="str">
        <f t="shared" si="16"/>
        <v>10/2027</v>
      </c>
      <c r="M202" s="134" t="str">
        <f t="shared" si="16"/>
        <v>11/2027</v>
      </c>
      <c r="N202" s="134" t="str">
        <f t="shared" si="16"/>
        <v>12/2027</v>
      </c>
      <c r="O202" s="134" t="str">
        <f t="shared" ref="O202:Z202" si="17">O40</f>
        <v>1/2028</v>
      </c>
      <c r="P202" s="134" t="str">
        <f t="shared" si="17"/>
        <v>2/2028</v>
      </c>
      <c r="Q202" s="134" t="str">
        <f t="shared" si="17"/>
        <v>3/2028</v>
      </c>
      <c r="R202" s="134" t="str">
        <f t="shared" si="17"/>
        <v>4/2028</v>
      </c>
      <c r="S202" s="134" t="str">
        <f t="shared" si="17"/>
        <v>5/2028</v>
      </c>
      <c r="T202" s="134" t="str">
        <f t="shared" si="17"/>
        <v>6/2028</v>
      </c>
      <c r="U202" s="134" t="str">
        <f t="shared" si="17"/>
        <v>7/2028</v>
      </c>
      <c r="V202" s="134" t="str">
        <f t="shared" si="17"/>
        <v>8/2028</v>
      </c>
      <c r="W202" s="134" t="str">
        <f t="shared" si="17"/>
        <v>9/2028</v>
      </c>
      <c r="X202" s="134" t="str">
        <f t="shared" si="17"/>
        <v>10/2028</v>
      </c>
      <c r="Y202" s="134" t="str">
        <f t="shared" si="17"/>
        <v>11/2028</v>
      </c>
      <c r="Z202" s="134" t="str">
        <f t="shared" si="17"/>
        <v>12/2028</v>
      </c>
    </row>
    <row r="203" spans="1:26" ht="12.75" customHeight="1">
      <c r="A203" s="140" t="s">
        <v>60</v>
      </c>
      <c r="B203" s="178"/>
      <c r="C203" s="207">
        <v>0</v>
      </c>
      <c r="D203" s="207">
        <v>0</v>
      </c>
      <c r="E203" s="207">
        <v>0</v>
      </c>
      <c r="F203" s="207">
        <v>0</v>
      </c>
      <c r="G203" s="207">
        <v>0</v>
      </c>
      <c r="H203" s="207">
        <v>0</v>
      </c>
      <c r="I203" s="207">
        <v>0</v>
      </c>
      <c r="J203" s="207">
        <v>0</v>
      </c>
      <c r="K203" s="207">
        <v>0</v>
      </c>
      <c r="L203" s="207">
        <v>0</v>
      </c>
      <c r="M203" s="207">
        <v>0</v>
      </c>
      <c r="N203" s="207">
        <v>0</v>
      </c>
      <c r="O203" s="207">
        <v>0</v>
      </c>
      <c r="P203" s="207">
        <v>0</v>
      </c>
      <c r="Q203" s="207">
        <v>0</v>
      </c>
      <c r="R203" s="207">
        <v>0</v>
      </c>
      <c r="S203" s="207">
        <v>0</v>
      </c>
      <c r="T203" s="207">
        <v>0</v>
      </c>
      <c r="U203" s="207">
        <v>0</v>
      </c>
      <c r="V203" s="207">
        <v>0</v>
      </c>
      <c r="W203" s="207">
        <v>0</v>
      </c>
      <c r="X203" s="207">
        <v>0</v>
      </c>
      <c r="Y203" s="207">
        <v>0</v>
      </c>
      <c r="Z203" s="207">
        <v>0</v>
      </c>
    </row>
    <row r="204" spans="1:26" ht="12.75" customHeight="1">
      <c r="A204" s="140" t="s">
        <v>61</v>
      </c>
      <c r="B204" s="178"/>
      <c r="C204" s="208">
        <v>0</v>
      </c>
      <c r="D204" s="208">
        <v>0</v>
      </c>
      <c r="E204" s="208">
        <v>0</v>
      </c>
      <c r="F204" s="208">
        <v>0</v>
      </c>
      <c r="G204" s="208">
        <v>0</v>
      </c>
      <c r="H204" s="208">
        <v>0</v>
      </c>
      <c r="I204" s="208">
        <v>0</v>
      </c>
      <c r="J204" s="208">
        <v>0</v>
      </c>
      <c r="K204" s="208">
        <v>0</v>
      </c>
      <c r="L204" s="208">
        <v>0</v>
      </c>
      <c r="M204" s="208">
        <v>0</v>
      </c>
      <c r="N204" s="208">
        <v>0</v>
      </c>
      <c r="O204" s="208">
        <v>0</v>
      </c>
      <c r="P204" s="208">
        <v>0</v>
      </c>
      <c r="Q204" s="208">
        <v>0</v>
      </c>
      <c r="R204" s="208">
        <v>0</v>
      </c>
      <c r="S204" s="208">
        <v>0</v>
      </c>
      <c r="T204" s="208">
        <v>0</v>
      </c>
      <c r="U204" s="208">
        <v>0</v>
      </c>
      <c r="V204" s="208">
        <v>0</v>
      </c>
      <c r="W204" s="208">
        <v>0</v>
      </c>
      <c r="X204" s="208">
        <v>0</v>
      </c>
      <c r="Y204" s="208">
        <v>0</v>
      </c>
      <c r="Z204" s="208">
        <v>0</v>
      </c>
    </row>
    <row r="205" spans="1:26" ht="12.75" customHeight="1">
      <c r="A205" s="140" t="s">
        <v>62</v>
      </c>
      <c r="B205" s="178"/>
      <c r="C205" s="208">
        <v>0</v>
      </c>
      <c r="D205" s="208">
        <v>0</v>
      </c>
      <c r="E205" s="208">
        <v>0</v>
      </c>
      <c r="F205" s="208">
        <v>0</v>
      </c>
      <c r="G205" s="208">
        <v>0</v>
      </c>
      <c r="H205" s="208">
        <v>0</v>
      </c>
      <c r="I205" s="208">
        <v>0</v>
      </c>
      <c r="J205" s="208">
        <v>0</v>
      </c>
      <c r="K205" s="208">
        <v>0</v>
      </c>
      <c r="L205" s="208">
        <v>0</v>
      </c>
      <c r="M205" s="208">
        <v>0</v>
      </c>
      <c r="N205" s="208">
        <v>0</v>
      </c>
      <c r="O205" s="208">
        <v>0</v>
      </c>
      <c r="P205" s="208">
        <v>0</v>
      </c>
      <c r="Q205" s="208">
        <v>0</v>
      </c>
      <c r="R205" s="208">
        <v>0</v>
      </c>
      <c r="S205" s="208">
        <v>0</v>
      </c>
      <c r="T205" s="208">
        <v>0</v>
      </c>
      <c r="U205" s="208">
        <v>0</v>
      </c>
      <c r="V205" s="208">
        <v>0</v>
      </c>
      <c r="W205" s="208">
        <v>0</v>
      </c>
      <c r="X205" s="208">
        <v>0</v>
      </c>
      <c r="Y205" s="208">
        <v>0</v>
      </c>
      <c r="Z205" s="208">
        <v>0</v>
      </c>
    </row>
    <row r="206" spans="1:26" ht="12.75" customHeight="1">
      <c r="A206" s="140" t="s">
        <v>63</v>
      </c>
      <c r="B206" s="178"/>
      <c r="C206" s="208">
        <v>0</v>
      </c>
      <c r="D206" s="208">
        <v>0</v>
      </c>
      <c r="E206" s="208">
        <v>0</v>
      </c>
      <c r="F206" s="208">
        <v>0</v>
      </c>
      <c r="G206" s="208">
        <v>0</v>
      </c>
      <c r="H206" s="208">
        <v>0</v>
      </c>
      <c r="I206" s="208">
        <v>0</v>
      </c>
      <c r="J206" s="208">
        <v>0</v>
      </c>
      <c r="K206" s="208">
        <v>0</v>
      </c>
      <c r="L206" s="208">
        <v>0</v>
      </c>
      <c r="M206" s="208">
        <v>0</v>
      </c>
      <c r="N206" s="208">
        <v>0</v>
      </c>
      <c r="O206" s="208">
        <v>0</v>
      </c>
      <c r="P206" s="208">
        <v>0</v>
      </c>
      <c r="Q206" s="208">
        <v>0</v>
      </c>
      <c r="R206" s="208">
        <v>0</v>
      </c>
      <c r="S206" s="208">
        <v>0</v>
      </c>
      <c r="T206" s="208">
        <v>0</v>
      </c>
      <c r="U206" s="208">
        <v>0</v>
      </c>
      <c r="V206" s="208">
        <v>0</v>
      </c>
      <c r="W206" s="208">
        <v>0</v>
      </c>
      <c r="X206" s="208">
        <v>0</v>
      </c>
      <c r="Y206" s="208">
        <v>0</v>
      </c>
      <c r="Z206" s="208">
        <v>0</v>
      </c>
    </row>
    <row r="207" spans="1:26" ht="12.75" customHeight="1">
      <c r="A207" s="140" t="s">
        <v>64</v>
      </c>
      <c r="B207" s="178"/>
      <c r="C207" s="208">
        <v>0</v>
      </c>
      <c r="D207" s="208">
        <v>0</v>
      </c>
      <c r="E207" s="208">
        <v>0</v>
      </c>
      <c r="F207" s="208">
        <v>0</v>
      </c>
      <c r="G207" s="208">
        <v>0</v>
      </c>
      <c r="H207" s="208">
        <v>0</v>
      </c>
      <c r="I207" s="208"/>
      <c r="J207" s="208">
        <v>0</v>
      </c>
      <c r="K207" s="208">
        <v>0</v>
      </c>
      <c r="L207" s="208">
        <v>0</v>
      </c>
      <c r="M207" s="208">
        <v>0</v>
      </c>
      <c r="N207" s="208">
        <v>0</v>
      </c>
      <c r="O207" s="208">
        <v>0</v>
      </c>
      <c r="P207" s="208">
        <v>0</v>
      </c>
      <c r="Q207" s="208">
        <v>0</v>
      </c>
      <c r="R207" s="208">
        <v>0</v>
      </c>
      <c r="S207" s="208">
        <v>0</v>
      </c>
      <c r="T207" s="208">
        <v>0</v>
      </c>
      <c r="U207" s="208">
        <v>0</v>
      </c>
      <c r="V207" s="208">
        <v>0</v>
      </c>
      <c r="W207" s="208">
        <v>0</v>
      </c>
      <c r="X207" s="208">
        <v>0</v>
      </c>
      <c r="Y207" s="208">
        <v>0</v>
      </c>
      <c r="Z207" s="208">
        <v>0</v>
      </c>
    </row>
    <row r="208" spans="1:26" ht="12.75" customHeight="1" thickBot="1">
      <c r="A208" s="105" t="s">
        <v>65</v>
      </c>
      <c r="B208" s="178"/>
      <c r="C208" s="179">
        <f t="shared" ref="C208:N208" si="18">SUM(C203:C207)</f>
        <v>0</v>
      </c>
      <c r="D208" s="179">
        <f t="shared" si="18"/>
        <v>0</v>
      </c>
      <c r="E208" s="179">
        <f t="shared" si="18"/>
        <v>0</v>
      </c>
      <c r="F208" s="179">
        <f t="shared" si="18"/>
        <v>0</v>
      </c>
      <c r="G208" s="179">
        <f t="shared" si="18"/>
        <v>0</v>
      </c>
      <c r="H208" s="179">
        <f t="shared" si="18"/>
        <v>0</v>
      </c>
      <c r="I208" s="179">
        <f t="shared" si="18"/>
        <v>0</v>
      </c>
      <c r="J208" s="179">
        <f t="shared" si="18"/>
        <v>0</v>
      </c>
      <c r="K208" s="179">
        <f t="shared" si="18"/>
        <v>0</v>
      </c>
      <c r="L208" s="179">
        <f t="shared" si="18"/>
        <v>0</v>
      </c>
      <c r="M208" s="179">
        <f t="shared" si="18"/>
        <v>0</v>
      </c>
      <c r="N208" s="179">
        <f t="shared" si="18"/>
        <v>0</v>
      </c>
      <c r="O208" s="179">
        <f t="shared" ref="O208:Z208" si="19">SUM(O203:O207)</f>
        <v>0</v>
      </c>
      <c r="P208" s="179">
        <f t="shared" si="19"/>
        <v>0</v>
      </c>
      <c r="Q208" s="179">
        <f t="shared" si="19"/>
        <v>0</v>
      </c>
      <c r="R208" s="179">
        <f t="shared" si="19"/>
        <v>0</v>
      </c>
      <c r="S208" s="179">
        <f t="shared" si="19"/>
        <v>0</v>
      </c>
      <c r="T208" s="179">
        <f t="shared" si="19"/>
        <v>0</v>
      </c>
      <c r="U208" s="179">
        <f t="shared" si="19"/>
        <v>0</v>
      </c>
      <c r="V208" s="179">
        <f t="shared" si="19"/>
        <v>0</v>
      </c>
      <c r="W208" s="179">
        <f t="shared" si="19"/>
        <v>0</v>
      </c>
      <c r="X208" s="179">
        <f t="shared" si="19"/>
        <v>0</v>
      </c>
      <c r="Y208" s="179">
        <f t="shared" si="19"/>
        <v>0</v>
      </c>
      <c r="Z208" s="179">
        <f t="shared" si="19"/>
        <v>0</v>
      </c>
    </row>
    <row r="209" spans="1:26" ht="12.75" customHeight="1" thickBot="1">
      <c r="B209" s="178"/>
      <c r="C209" s="180"/>
      <c r="D209" s="180"/>
      <c r="E209" s="180"/>
      <c r="F209" s="180"/>
      <c r="G209" s="180"/>
      <c r="H209" s="180"/>
      <c r="I209" s="180"/>
      <c r="J209" s="180"/>
      <c r="K209" s="180"/>
      <c r="L209" s="180"/>
      <c r="M209" s="180"/>
      <c r="N209" s="180"/>
    </row>
    <row r="210" spans="1:26" ht="12.75" customHeight="1" thickBot="1">
      <c r="A210" s="132" t="s">
        <v>66</v>
      </c>
      <c r="B210" s="181" t="s">
        <v>8</v>
      </c>
      <c r="C210" s="134" t="str">
        <f t="shared" ref="C210:N210" si="20">C40</f>
        <v>1/2027</v>
      </c>
      <c r="D210" s="134" t="str">
        <f t="shared" si="20"/>
        <v>2/2027</v>
      </c>
      <c r="E210" s="134" t="str">
        <f t="shared" si="20"/>
        <v>3/2027</v>
      </c>
      <c r="F210" s="134" t="str">
        <f t="shared" si="20"/>
        <v>4/2027</v>
      </c>
      <c r="G210" s="134" t="str">
        <f t="shared" si="20"/>
        <v>5/2027</v>
      </c>
      <c r="H210" s="134" t="str">
        <f t="shared" si="20"/>
        <v>6/2027</v>
      </c>
      <c r="I210" s="134" t="str">
        <f t="shared" si="20"/>
        <v>7/2027</v>
      </c>
      <c r="J210" s="134" t="str">
        <f t="shared" si="20"/>
        <v>8/2027</v>
      </c>
      <c r="K210" s="134" t="str">
        <f t="shared" si="20"/>
        <v>9/2027</v>
      </c>
      <c r="L210" s="134" t="str">
        <f t="shared" si="20"/>
        <v>10/2027</v>
      </c>
      <c r="M210" s="134" t="str">
        <f t="shared" si="20"/>
        <v>11/2027</v>
      </c>
      <c r="N210" s="134" t="str">
        <f t="shared" si="20"/>
        <v>12/2027</v>
      </c>
      <c r="O210" s="134" t="str">
        <f t="shared" ref="O210:Z210" si="21">O40</f>
        <v>1/2028</v>
      </c>
      <c r="P210" s="134" t="str">
        <f t="shared" si="21"/>
        <v>2/2028</v>
      </c>
      <c r="Q210" s="134" t="str">
        <f t="shared" si="21"/>
        <v>3/2028</v>
      </c>
      <c r="R210" s="134" t="str">
        <f t="shared" si="21"/>
        <v>4/2028</v>
      </c>
      <c r="S210" s="134" t="str">
        <f t="shared" si="21"/>
        <v>5/2028</v>
      </c>
      <c r="T210" s="134" t="str">
        <f t="shared" si="21"/>
        <v>6/2028</v>
      </c>
      <c r="U210" s="134" t="str">
        <f t="shared" si="21"/>
        <v>7/2028</v>
      </c>
      <c r="V210" s="134" t="str">
        <f t="shared" si="21"/>
        <v>8/2028</v>
      </c>
      <c r="W210" s="134" t="str">
        <f t="shared" si="21"/>
        <v>9/2028</v>
      </c>
      <c r="X210" s="134" t="str">
        <f t="shared" si="21"/>
        <v>10/2028</v>
      </c>
      <c r="Y210" s="134" t="str">
        <f t="shared" si="21"/>
        <v>11/2028</v>
      </c>
      <c r="Z210" s="134" t="str">
        <f t="shared" si="21"/>
        <v>12/2028</v>
      </c>
    </row>
    <row r="211" spans="1:26" ht="12.75" customHeight="1">
      <c r="A211" s="140" t="s">
        <v>67</v>
      </c>
      <c r="B211" s="182"/>
      <c r="C211" s="222">
        <v>0</v>
      </c>
      <c r="D211" s="222">
        <v>0</v>
      </c>
      <c r="E211" s="222">
        <v>0</v>
      </c>
      <c r="F211" s="222">
        <v>0</v>
      </c>
      <c r="G211" s="222">
        <v>0</v>
      </c>
      <c r="H211" s="222">
        <v>0</v>
      </c>
      <c r="I211" s="222">
        <v>0</v>
      </c>
      <c r="J211" s="222">
        <v>0</v>
      </c>
      <c r="K211" s="222">
        <v>0</v>
      </c>
      <c r="L211" s="222">
        <v>0</v>
      </c>
      <c r="M211" s="222">
        <v>0</v>
      </c>
      <c r="N211" s="222">
        <v>0</v>
      </c>
      <c r="O211" s="222">
        <v>0</v>
      </c>
      <c r="P211" s="222">
        <v>0</v>
      </c>
      <c r="Q211" s="222">
        <v>0</v>
      </c>
      <c r="R211" s="222">
        <v>0</v>
      </c>
      <c r="S211" s="222">
        <v>0</v>
      </c>
      <c r="T211" s="222">
        <v>0</v>
      </c>
      <c r="U211" s="222">
        <v>0</v>
      </c>
      <c r="V211" s="222">
        <v>0</v>
      </c>
      <c r="W211" s="222">
        <v>0</v>
      </c>
      <c r="X211" s="222">
        <v>0</v>
      </c>
      <c r="Y211" s="222">
        <v>0</v>
      </c>
      <c r="Z211" s="222">
        <v>0</v>
      </c>
    </row>
    <row r="212" spans="1:26" ht="12.75" customHeight="1">
      <c r="A212" s="140" t="s">
        <v>15</v>
      </c>
      <c r="B212" s="142"/>
      <c r="C212" s="208">
        <v>0</v>
      </c>
      <c r="D212" s="208">
        <v>0</v>
      </c>
      <c r="E212" s="208">
        <v>0</v>
      </c>
      <c r="F212" s="208">
        <v>0</v>
      </c>
      <c r="G212" s="208">
        <v>0</v>
      </c>
      <c r="H212" s="208">
        <v>0</v>
      </c>
      <c r="I212" s="208">
        <v>0</v>
      </c>
      <c r="J212" s="208">
        <v>0</v>
      </c>
      <c r="K212" s="208">
        <v>0</v>
      </c>
      <c r="L212" s="208">
        <v>0</v>
      </c>
      <c r="M212" s="208">
        <v>0</v>
      </c>
      <c r="N212" s="208">
        <v>0</v>
      </c>
      <c r="O212" s="208">
        <v>0</v>
      </c>
      <c r="P212" s="208">
        <v>0</v>
      </c>
      <c r="Q212" s="208">
        <v>0</v>
      </c>
      <c r="R212" s="208">
        <v>0</v>
      </c>
      <c r="S212" s="208">
        <v>0</v>
      </c>
      <c r="T212" s="208">
        <v>0</v>
      </c>
      <c r="U212" s="208">
        <v>0</v>
      </c>
      <c r="V212" s="208">
        <v>0</v>
      </c>
      <c r="W212" s="208">
        <v>0</v>
      </c>
      <c r="X212" s="208">
        <v>0</v>
      </c>
      <c r="Y212" s="208">
        <v>0</v>
      </c>
      <c r="Z212" s="208">
        <v>0</v>
      </c>
    </row>
    <row r="213" spans="1:26" ht="12.75" customHeight="1" thickBot="1">
      <c r="A213" s="140" t="s">
        <v>68</v>
      </c>
      <c r="B213" s="142"/>
      <c r="C213" s="211">
        <v>0</v>
      </c>
      <c r="D213" s="211">
        <v>0</v>
      </c>
      <c r="E213" s="211">
        <v>0</v>
      </c>
      <c r="F213" s="211">
        <v>0</v>
      </c>
      <c r="G213" s="211">
        <v>0</v>
      </c>
      <c r="H213" s="211">
        <v>0</v>
      </c>
      <c r="I213" s="211">
        <v>0</v>
      </c>
      <c r="J213" s="211">
        <v>0</v>
      </c>
      <c r="K213" s="211">
        <v>0</v>
      </c>
      <c r="L213" s="211">
        <v>0</v>
      </c>
      <c r="M213" s="211">
        <v>0</v>
      </c>
      <c r="N213" s="211">
        <v>0</v>
      </c>
      <c r="O213" s="211">
        <v>0</v>
      </c>
      <c r="P213" s="211">
        <v>0</v>
      </c>
      <c r="Q213" s="211">
        <v>0</v>
      </c>
      <c r="R213" s="211">
        <v>0</v>
      </c>
      <c r="S213" s="211">
        <v>0</v>
      </c>
      <c r="T213" s="211">
        <v>0</v>
      </c>
      <c r="U213" s="211">
        <v>0</v>
      </c>
      <c r="V213" s="211">
        <v>0</v>
      </c>
      <c r="W213" s="211">
        <v>0</v>
      </c>
      <c r="X213" s="211">
        <v>0</v>
      </c>
      <c r="Y213" s="211">
        <v>0</v>
      </c>
      <c r="Z213" s="211">
        <v>0</v>
      </c>
    </row>
    <row r="214" spans="1:26" ht="12.75" customHeight="1" thickBot="1">
      <c r="A214" s="140"/>
      <c r="B214" s="142"/>
      <c r="C214" s="178"/>
      <c r="D214" s="178"/>
      <c r="E214" s="178"/>
      <c r="F214" s="178"/>
      <c r="G214" s="178"/>
      <c r="H214" s="178"/>
      <c r="I214" s="178"/>
      <c r="J214" s="178"/>
      <c r="K214" s="178"/>
      <c r="L214" s="178"/>
      <c r="M214" s="178"/>
      <c r="N214" s="178"/>
    </row>
    <row r="215" spans="1:26" ht="12.75" customHeight="1" thickBot="1">
      <c r="A215" s="140" t="s">
        <v>69</v>
      </c>
      <c r="B215" s="142"/>
      <c r="C215" s="154">
        <f t="shared" ref="C215:N215" si="22">SUM(C211:C212)</f>
        <v>0</v>
      </c>
      <c r="D215" s="183">
        <f t="shared" si="22"/>
        <v>0</v>
      </c>
      <c r="E215" s="183">
        <f t="shared" si="22"/>
        <v>0</v>
      </c>
      <c r="F215" s="183">
        <f t="shared" si="22"/>
        <v>0</v>
      </c>
      <c r="G215" s="183">
        <f t="shared" si="22"/>
        <v>0</v>
      </c>
      <c r="H215" s="183">
        <f t="shared" si="22"/>
        <v>0</v>
      </c>
      <c r="I215" s="183">
        <f t="shared" si="22"/>
        <v>0</v>
      </c>
      <c r="J215" s="183">
        <f t="shared" si="22"/>
        <v>0</v>
      </c>
      <c r="K215" s="183">
        <f t="shared" si="22"/>
        <v>0</v>
      </c>
      <c r="L215" s="183">
        <f t="shared" si="22"/>
        <v>0</v>
      </c>
      <c r="M215" s="183">
        <f t="shared" si="22"/>
        <v>0</v>
      </c>
      <c r="N215" s="183">
        <f t="shared" si="22"/>
        <v>0</v>
      </c>
      <c r="O215" s="183">
        <f t="shared" ref="O215:Z215" si="23">SUM(O211:O212)</f>
        <v>0</v>
      </c>
      <c r="P215" s="183">
        <f t="shared" si="23"/>
        <v>0</v>
      </c>
      <c r="Q215" s="183">
        <f t="shared" si="23"/>
        <v>0</v>
      </c>
      <c r="R215" s="183">
        <f t="shared" si="23"/>
        <v>0</v>
      </c>
      <c r="S215" s="183">
        <f t="shared" si="23"/>
        <v>0</v>
      </c>
      <c r="T215" s="183">
        <f t="shared" si="23"/>
        <v>0</v>
      </c>
      <c r="U215" s="183">
        <f t="shared" si="23"/>
        <v>0</v>
      </c>
      <c r="V215" s="183">
        <f t="shared" si="23"/>
        <v>0</v>
      </c>
      <c r="W215" s="183">
        <f t="shared" si="23"/>
        <v>0</v>
      </c>
      <c r="X215" s="183">
        <f t="shared" si="23"/>
        <v>0</v>
      </c>
      <c r="Y215" s="183">
        <f t="shared" si="23"/>
        <v>0</v>
      </c>
      <c r="Z215" s="183">
        <f t="shared" si="23"/>
        <v>0</v>
      </c>
    </row>
    <row r="216" spans="1:26" ht="12.75" customHeight="1" thickBot="1">
      <c r="A216" s="140" t="s">
        <v>37</v>
      </c>
      <c r="B216" s="184">
        <f>C170</f>
        <v>0</v>
      </c>
      <c r="C216" s="185">
        <f t="shared" ref="C216:N216" si="24">B216+C215-C213</f>
        <v>0</v>
      </c>
      <c r="D216" s="186">
        <f t="shared" si="24"/>
        <v>0</v>
      </c>
      <c r="E216" s="186">
        <f t="shared" si="24"/>
        <v>0</v>
      </c>
      <c r="F216" s="186">
        <f t="shared" si="24"/>
        <v>0</v>
      </c>
      <c r="G216" s="186">
        <f t="shared" si="24"/>
        <v>0</v>
      </c>
      <c r="H216" s="186">
        <f t="shared" si="24"/>
        <v>0</v>
      </c>
      <c r="I216" s="186">
        <f t="shared" si="24"/>
        <v>0</v>
      </c>
      <c r="J216" s="186">
        <f t="shared" si="24"/>
        <v>0</v>
      </c>
      <c r="K216" s="186">
        <f t="shared" si="24"/>
        <v>0</v>
      </c>
      <c r="L216" s="186">
        <f t="shared" si="24"/>
        <v>0</v>
      </c>
      <c r="M216" s="186">
        <f t="shared" si="24"/>
        <v>0</v>
      </c>
      <c r="N216" s="186">
        <f t="shared" si="24"/>
        <v>0</v>
      </c>
      <c r="O216" s="186">
        <f t="shared" ref="O216:Z216" si="25">N216+O215-O213</f>
        <v>0</v>
      </c>
      <c r="P216" s="186">
        <f t="shared" si="25"/>
        <v>0</v>
      </c>
      <c r="Q216" s="186">
        <f t="shared" si="25"/>
        <v>0</v>
      </c>
      <c r="R216" s="186">
        <f t="shared" si="25"/>
        <v>0</v>
      </c>
      <c r="S216" s="186">
        <f t="shared" si="25"/>
        <v>0</v>
      </c>
      <c r="T216" s="186">
        <f t="shared" si="25"/>
        <v>0</v>
      </c>
      <c r="U216" s="186">
        <f t="shared" si="25"/>
        <v>0</v>
      </c>
      <c r="V216" s="186">
        <f t="shared" si="25"/>
        <v>0</v>
      </c>
      <c r="W216" s="186">
        <f t="shared" si="25"/>
        <v>0</v>
      </c>
      <c r="X216" s="186">
        <f t="shared" si="25"/>
        <v>0</v>
      </c>
      <c r="Y216" s="186">
        <f t="shared" si="25"/>
        <v>0</v>
      </c>
      <c r="Z216" s="186">
        <f t="shared" si="25"/>
        <v>0</v>
      </c>
    </row>
    <row r="217" spans="1:26" s="189" customFormat="1" ht="12.75" customHeight="1" thickBot="1">
      <c r="A217" s="105"/>
      <c r="B217" s="187"/>
      <c r="C217" s="188"/>
      <c r="D217" s="188"/>
      <c r="E217" s="188"/>
      <c r="F217" s="188"/>
      <c r="G217" s="188"/>
      <c r="H217" s="188"/>
      <c r="I217" s="188"/>
      <c r="J217" s="188"/>
      <c r="K217" s="188"/>
      <c r="L217" s="188"/>
      <c r="M217" s="188"/>
      <c r="N217" s="188"/>
    </row>
    <row r="218" spans="1:26" ht="12.75" customHeight="1" thickBot="1">
      <c r="A218" s="132" t="s">
        <v>70</v>
      </c>
      <c r="B218" s="181"/>
      <c r="C218" s="223">
        <v>200000</v>
      </c>
      <c r="D218" s="223">
        <v>190000</v>
      </c>
      <c r="E218" s="223">
        <v>160000</v>
      </c>
      <c r="F218" s="223">
        <v>0</v>
      </c>
      <c r="G218" s="223">
        <v>0</v>
      </c>
      <c r="H218" s="223">
        <v>0</v>
      </c>
      <c r="I218" s="223">
        <v>0</v>
      </c>
      <c r="J218" s="223">
        <v>0</v>
      </c>
      <c r="K218" s="223">
        <v>0</v>
      </c>
      <c r="L218" s="223">
        <v>0</v>
      </c>
      <c r="M218" s="223">
        <v>0</v>
      </c>
      <c r="N218" s="223">
        <v>0</v>
      </c>
      <c r="O218" s="223">
        <v>0</v>
      </c>
      <c r="P218" s="223">
        <v>0</v>
      </c>
      <c r="Q218" s="223">
        <v>0</v>
      </c>
      <c r="R218" s="223">
        <v>0</v>
      </c>
      <c r="S218" s="223">
        <v>0</v>
      </c>
      <c r="T218" s="223">
        <v>0</v>
      </c>
      <c r="U218" s="223">
        <v>0</v>
      </c>
      <c r="V218" s="223">
        <v>0</v>
      </c>
      <c r="W218" s="223">
        <v>0</v>
      </c>
      <c r="X218" s="223">
        <v>0</v>
      </c>
      <c r="Y218" s="223">
        <v>0</v>
      </c>
      <c r="Z218" s="223">
        <v>0</v>
      </c>
    </row>
    <row r="219" spans="1:26" ht="12.75" customHeight="1">
      <c r="A219" s="140"/>
    </row>
    <row r="220" spans="1:26" s="102" customFormat="1" ht="12.75" customHeight="1">
      <c r="A220" s="100" t="s">
        <v>71</v>
      </c>
      <c r="B220" s="101"/>
      <c r="N220" s="103"/>
    </row>
    <row r="221" spans="1:26" ht="12.75" customHeight="1">
      <c r="A221" s="140"/>
    </row>
    <row r="222" spans="1:26" ht="12.75" customHeight="1">
      <c r="A222" s="278" t="s">
        <v>261</v>
      </c>
      <c r="B222" s="279">
        <f ca="1">IF(CASH_DEFICIT&lt;0,-CASH_DEFICIT,"нет")</f>
        <v>1030000</v>
      </c>
      <c r="C222" s="280" t="str">
        <f>IF(MIN('Кэш-фло'!C23:N23)&lt;0,"USD"," ")</f>
        <v>USD</v>
      </c>
    </row>
    <row r="223" spans="1:26" ht="12.75" customHeight="1" thickBot="1">
      <c r="A223" s="140"/>
    </row>
    <row r="224" spans="1:26" ht="12.75" customHeight="1" thickBot="1">
      <c r="A224" s="105" t="s">
        <v>72</v>
      </c>
      <c r="B224" s="106" t="s">
        <v>8</v>
      </c>
      <c r="C224" s="190" t="str">
        <f t="shared" ref="C224:N224" si="26">C40</f>
        <v>1/2027</v>
      </c>
      <c r="D224" s="134" t="str">
        <f t="shared" si="26"/>
        <v>2/2027</v>
      </c>
      <c r="E224" s="134" t="str">
        <f t="shared" si="26"/>
        <v>3/2027</v>
      </c>
      <c r="F224" s="134" t="str">
        <f t="shared" si="26"/>
        <v>4/2027</v>
      </c>
      <c r="G224" s="134" t="str">
        <f t="shared" si="26"/>
        <v>5/2027</v>
      </c>
      <c r="H224" s="134" t="str">
        <f t="shared" si="26"/>
        <v>6/2027</v>
      </c>
      <c r="I224" s="134" t="str">
        <f t="shared" si="26"/>
        <v>7/2027</v>
      </c>
      <c r="J224" s="134" t="str">
        <f t="shared" si="26"/>
        <v>8/2027</v>
      </c>
      <c r="K224" s="134" t="str">
        <f t="shared" si="26"/>
        <v>9/2027</v>
      </c>
      <c r="L224" s="134" t="str">
        <f t="shared" si="26"/>
        <v>10/2027</v>
      </c>
      <c r="M224" s="134" t="str">
        <f t="shared" si="26"/>
        <v>11/2027</v>
      </c>
      <c r="N224" s="135" t="str">
        <f t="shared" si="26"/>
        <v>12/2027</v>
      </c>
      <c r="O224" s="135" t="str">
        <f t="shared" ref="O224:Z224" si="27">O40</f>
        <v>1/2028</v>
      </c>
      <c r="P224" s="135" t="str">
        <f t="shared" si="27"/>
        <v>2/2028</v>
      </c>
      <c r="Q224" s="135" t="str">
        <f t="shared" si="27"/>
        <v>3/2028</v>
      </c>
      <c r="R224" s="135" t="str">
        <f t="shared" si="27"/>
        <v>4/2028</v>
      </c>
      <c r="S224" s="135" t="str">
        <f t="shared" si="27"/>
        <v>5/2028</v>
      </c>
      <c r="T224" s="135" t="str">
        <f t="shared" si="27"/>
        <v>6/2028</v>
      </c>
      <c r="U224" s="135" t="str">
        <f t="shared" si="27"/>
        <v>7/2028</v>
      </c>
      <c r="V224" s="135" t="str">
        <f t="shared" si="27"/>
        <v>8/2028</v>
      </c>
      <c r="W224" s="135" t="str">
        <f t="shared" si="27"/>
        <v>9/2028</v>
      </c>
      <c r="X224" s="135" t="str">
        <f t="shared" si="27"/>
        <v>10/2028</v>
      </c>
      <c r="Y224" s="135" t="str">
        <f t="shared" si="27"/>
        <v>11/2028</v>
      </c>
      <c r="Z224" s="135" t="str">
        <f t="shared" si="27"/>
        <v>12/2028</v>
      </c>
    </row>
    <row r="225" spans="1:26" ht="12.75" customHeight="1" thickBot="1">
      <c r="A225" s="132" t="str">
        <f>A187</f>
        <v>Кредит 1</v>
      </c>
      <c r="B225" s="141"/>
      <c r="C225" s="160"/>
      <c r="D225" s="160"/>
      <c r="E225" s="160"/>
      <c r="F225" s="160"/>
      <c r="G225" s="160"/>
      <c r="H225" s="160"/>
      <c r="I225" s="160"/>
      <c r="J225" s="160"/>
      <c r="K225" s="160"/>
      <c r="L225" s="160"/>
      <c r="M225" s="160"/>
      <c r="N225" s="160"/>
      <c r="O225" s="160"/>
      <c r="P225" s="160"/>
      <c r="Q225" s="160"/>
      <c r="R225" s="160"/>
      <c r="S225" s="160"/>
      <c r="T225" s="160"/>
      <c r="U225" s="160"/>
      <c r="V225" s="160"/>
      <c r="W225" s="160"/>
      <c r="X225" s="160"/>
      <c r="Y225" s="160"/>
      <c r="Z225" s="160"/>
    </row>
    <row r="226" spans="1:26" ht="12.75" customHeight="1" outlineLevel="1" thickBot="1">
      <c r="A226" s="140" t="s">
        <v>73</v>
      </c>
      <c r="B226" s="191">
        <f>C187</f>
        <v>0</v>
      </c>
      <c r="C226" s="192">
        <f>B226+C227-C228</f>
        <v>0</v>
      </c>
      <c r="D226" s="193">
        <f>C226-D228+D227</f>
        <v>0</v>
      </c>
      <c r="E226" s="193">
        <f t="shared" ref="E226:N226" si="28">D226-E228+E227</f>
        <v>0</v>
      </c>
      <c r="F226" s="193">
        <f t="shared" si="28"/>
        <v>0</v>
      </c>
      <c r="G226" s="193">
        <f t="shared" si="28"/>
        <v>0</v>
      </c>
      <c r="H226" s="193">
        <f t="shared" si="28"/>
        <v>0</v>
      </c>
      <c r="I226" s="193">
        <f t="shared" si="28"/>
        <v>0</v>
      </c>
      <c r="J226" s="193">
        <f t="shared" si="28"/>
        <v>0</v>
      </c>
      <c r="K226" s="193">
        <f t="shared" si="28"/>
        <v>0</v>
      </c>
      <c r="L226" s="193">
        <f t="shared" si="28"/>
        <v>0</v>
      </c>
      <c r="M226" s="193">
        <f t="shared" si="28"/>
        <v>0</v>
      </c>
      <c r="N226" s="193">
        <f t="shared" si="28"/>
        <v>0</v>
      </c>
      <c r="O226" s="193">
        <f t="shared" ref="O226:Z226" si="29">N226-O228+O227</f>
        <v>0</v>
      </c>
      <c r="P226" s="193">
        <f t="shared" si="29"/>
        <v>0</v>
      </c>
      <c r="Q226" s="193">
        <f t="shared" si="29"/>
        <v>0</v>
      </c>
      <c r="R226" s="193">
        <f t="shared" si="29"/>
        <v>0</v>
      </c>
      <c r="S226" s="193">
        <f t="shared" si="29"/>
        <v>0</v>
      </c>
      <c r="T226" s="193">
        <f t="shared" si="29"/>
        <v>0</v>
      </c>
      <c r="U226" s="193">
        <f t="shared" si="29"/>
        <v>0</v>
      </c>
      <c r="V226" s="193">
        <f t="shared" si="29"/>
        <v>0</v>
      </c>
      <c r="W226" s="193">
        <f t="shared" si="29"/>
        <v>0</v>
      </c>
      <c r="X226" s="193">
        <f t="shared" si="29"/>
        <v>0</v>
      </c>
      <c r="Y226" s="193">
        <f t="shared" si="29"/>
        <v>0</v>
      </c>
      <c r="Z226" s="193">
        <f t="shared" si="29"/>
        <v>0</v>
      </c>
    </row>
    <row r="227" spans="1:26" ht="12.75" customHeight="1" outlineLevel="1">
      <c r="A227" s="140" t="s">
        <v>74</v>
      </c>
      <c r="C227" s="224">
        <v>0</v>
      </c>
      <c r="D227" s="208">
        <v>0</v>
      </c>
      <c r="E227" s="208">
        <v>0</v>
      </c>
      <c r="F227" s="208">
        <v>0</v>
      </c>
      <c r="G227" s="208">
        <v>0</v>
      </c>
      <c r="H227" s="208">
        <v>0</v>
      </c>
      <c r="I227" s="208">
        <v>0</v>
      </c>
      <c r="J227" s="208">
        <v>0</v>
      </c>
      <c r="K227" s="208">
        <v>0</v>
      </c>
      <c r="L227" s="208">
        <v>0</v>
      </c>
      <c r="M227" s="208">
        <v>0</v>
      </c>
      <c r="N227" s="208">
        <v>0</v>
      </c>
      <c r="O227" s="208">
        <v>0</v>
      </c>
      <c r="P227" s="208">
        <v>0</v>
      </c>
      <c r="Q227" s="208">
        <v>0</v>
      </c>
      <c r="R227" s="208">
        <v>0</v>
      </c>
      <c r="S227" s="208">
        <v>0</v>
      </c>
      <c r="T227" s="208">
        <v>0</v>
      </c>
      <c r="U227" s="208">
        <v>0</v>
      </c>
      <c r="V227" s="208">
        <v>0</v>
      </c>
      <c r="W227" s="208">
        <v>0</v>
      </c>
      <c r="X227" s="208">
        <v>0</v>
      </c>
      <c r="Y227" s="208">
        <v>0</v>
      </c>
      <c r="Z227" s="208">
        <v>0</v>
      </c>
    </row>
    <row r="228" spans="1:26" ht="12.75" customHeight="1" outlineLevel="1" thickBot="1">
      <c r="A228" s="140" t="s">
        <v>75</v>
      </c>
      <c r="C228" s="224">
        <v>0</v>
      </c>
      <c r="D228" s="208">
        <v>0</v>
      </c>
      <c r="E228" s="208">
        <v>0</v>
      </c>
      <c r="F228" s="208">
        <v>0</v>
      </c>
      <c r="G228" s="208">
        <v>0</v>
      </c>
      <c r="H228" s="208">
        <v>0</v>
      </c>
      <c r="I228" s="208">
        <v>0</v>
      </c>
      <c r="J228" s="208">
        <v>0</v>
      </c>
      <c r="K228" s="208">
        <v>0</v>
      </c>
      <c r="L228" s="208">
        <v>0</v>
      </c>
      <c r="M228" s="208">
        <v>0</v>
      </c>
      <c r="N228" s="208">
        <v>0</v>
      </c>
      <c r="O228" s="208">
        <v>0</v>
      </c>
      <c r="P228" s="208">
        <v>0</v>
      </c>
      <c r="Q228" s="208">
        <v>0</v>
      </c>
      <c r="R228" s="208">
        <v>0</v>
      </c>
      <c r="S228" s="208">
        <v>0</v>
      </c>
      <c r="T228" s="208">
        <v>0</v>
      </c>
      <c r="U228" s="208">
        <v>0</v>
      </c>
      <c r="V228" s="208">
        <v>0</v>
      </c>
      <c r="W228" s="208">
        <v>0</v>
      </c>
      <c r="X228" s="208">
        <v>0</v>
      </c>
      <c r="Y228" s="208">
        <v>0</v>
      </c>
      <c r="Z228" s="208">
        <v>0</v>
      </c>
    </row>
    <row r="229" spans="1:26" ht="12.75" customHeight="1" outlineLevel="1" thickBot="1">
      <c r="A229" s="140" t="s">
        <v>76</v>
      </c>
      <c r="B229" s="225">
        <v>0</v>
      </c>
      <c r="C229" s="194">
        <f>$B$229/12*Расчеты!B9</f>
        <v>0</v>
      </c>
      <c r="D229" s="195">
        <f t="shared" ref="D229:N229" si="30">C229</f>
        <v>0</v>
      </c>
      <c r="E229" s="195">
        <f t="shared" si="30"/>
        <v>0</v>
      </c>
      <c r="F229" s="195">
        <f t="shared" si="30"/>
        <v>0</v>
      </c>
      <c r="G229" s="195">
        <f t="shared" si="30"/>
        <v>0</v>
      </c>
      <c r="H229" s="195">
        <f t="shared" si="30"/>
        <v>0</v>
      </c>
      <c r="I229" s="195">
        <f t="shared" si="30"/>
        <v>0</v>
      </c>
      <c r="J229" s="195">
        <f t="shared" si="30"/>
        <v>0</v>
      </c>
      <c r="K229" s="195">
        <f t="shared" si="30"/>
        <v>0</v>
      </c>
      <c r="L229" s="195">
        <f t="shared" si="30"/>
        <v>0</v>
      </c>
      <c r="M229" s="195">
        <f t="shared" si="30"/>
        <v>0</v>
      </c>
      <c r="N229" s="195">
        <f t="shared" si="30"/>
        <v>0</v>
      </c>
      <c r="O229" s="195">
        <f t="shared" ref="O229:Z229" si="31">N229</f>
        <v>0</v>
      </c>
      <c r="P229" s="195">
        <f t="shared" si="31"/>
        <v>0</v>
      </c>
      <c r="Q229" s="195">
        <f t="shared" si="31"/>
        <v>0</v>
      </c>
      <c r="R229" s="195">
        <f t="shared" si="31"/>
        <v>0</v>
      </c>
      <c r="S229" s="195">
        <f t="shared" si="31"/>
        <v>0</v>
      </c>
      <c r="T229" s="195">
        <f t="shared" si="31"/>
        <v>0</v>
      </c>
      <c r="U229" s="195">
        <f t="shared" si="31"/>
        <v>0</v>
      </c>
      <c r="V229" s="195">
        <f t="shared" si="31"/>
        <v>0</v>
      </c>
      <c r="W229" s="195">
        <f t="shared" si="31"/>
        <v>0</v>
      </c>
      <c r="X229" s="195">
        <f t="shared" si="31"/>
        <v>0</v>
      </c>
      <c r="Y229" s="195">
        <f t="shared" si="31"/>
        <v>0</v>
      </c>
      <c r="Z229" s="195">
        <f t="shared" si="31"/>
        <v>0</v>
      </c>
    </row>
    <row r="230" spans="1:26" ht="12.75" customHeight="1" outlineLevel="1" thickBot="1">
      <c r="A230" s="140" t="s">
        <v>77</v>
      </c>
      <c r="C230" s="196">
        <f t="shared" ref="C230:N230" si="32">C226*C229</f>
        <v>0</v>
      </c>
      <c r="D230" s="179">
        <f t="shared" si="32"/>
        <v>0</v>
      </c>
      <c r="E230" s="179">
        <f t="shared" si="32"/>
        <v>0</v>
      </c>
      <c r="F230" s="179">
        <f t="shared" si="32"/>
        <v>0</v>
      </c>
      <c r="G230" s="179">
        <f t="shared" si="32"/>
        <v>0</v>
      </c>
      <c r="H230" s="179">
        <f t="shared" si="32"/>
        <v>0</v>
      </c>
      <c r="I230" s="179">
        <f t="shared" si="32"/>
        <v>0</v>
      </c>
      <c r="J230" s="179">
        <f t="shared" si="32"/>
        <v>0</v>
      </c>
      <c r="K230" s="179">
        <f t="shared" si="32"/>
        <v>0</v>
      </c>
      <c r="L230" s="179">
        <f t="shared" si="32"/>
        <v>0</v>
      </c>
      <c r="M230" s="179">
        <f t="shared" si="32"/>
        <v>0</v>
      </c>
      <c r="N230" s="179">
        <f t="shared" si="32"/>
        <v>0</v>
      </c>
      <c r="O230" s="179">
        <f t="shared" ref="O230:Z230" si="33">O226*O229</f>
        <v>0</v>
      </c>
      <c r="P230" s="179">
        <f t="shared" si="33"/>
        <v>0</v>
      </c>
      <c r="Q230" s="179">
        <f t="shared" si="33"/>
        <v>0</v>
      </c>
      <c r="R230" s="179">
        <f t="shared" si="33"/>
        <v>0</v>
      </c>
      <c r="S230" s="179">
        <f t="shared" si="33"/>
        <v>0</v>
      </c>
      <c r="T230" s="179">
        <f t="shared" si="33"/>
        <v>0</v>
      </c>
      <c r="U230" s="179">
        <f t="shared" si="33"/>
        <v>0</v>
      </c>
      <c r="V230" s="179">
        <f t="shared" si="33"/>
        <v>0</v>
      </c>
      <c r="W230" s="179">
        <f t="shared" si="33"/>
        <v>0</v>
      </c>
      <c r="X230" s="179">
        <f t="shared" si="33"/>
        <v>0</v>
      </c>
      <c r="Y230" s="179">
        <f t="shared" si="33"/>
        <v>0</v>
      </c>
      <c r="Z230" s="179">
        <f t="shared" si="33"/>
        <v>0</v>
      </c>
    </row>
    <row r="231" spans="1:26" ht="12.75" customHeight="1" thickBot="1">
      <c r="A231" s="132" t="str">
        <f>A188</f>
        <v>Кредит 2</v>
      </c>
      <c r="B231" s="141"/>
      <c r="C231" s="160"/>
      <c r="D231" s="160"/>
      <c r="E231" s="160"/>
      <c r="F231" s="160"/>
      <c r="G231" s="160"/>
      <c r="H231" s="160"/>
      <c r="I231" s="160"/>
      <c r="J231" s="160"/>
      <c r="K231" s="160"/>
      <c r="L231" s="160"/>
      <c r="M231" s="160"/>
      <c r="N231" s="160"/>
      <c r="O231" s="160"/>
      <c r="P231" s="160"/>
      <c r="Q231" s="160"/>
      <c r="R231" s="160"/>
      <c r="S231" s="160"/>
      <c r="T231" s="160"/>
      <c r="U231" s="160"/>
      <c r="V231" s="160"/>
      <c r="W231" s="160"/>
      <c r="X231" s="160"/>
      <c r="Y231" s="160"/>
      <c r="Z231" s="160"/>
    </row>
    <row r="232" spans="1:26" ht="12.75" customHeight="1" outlineLevel="1" thickBot="1">
      <c r="A232" s="140" t="s">
        <v>73</v>
      </c>
      <c r="B232" s="191">
        <f>C188</f>
        <v>0</v>
      </c>
      <c r="C232" s="192">
        <f>B232+C233-C234</f>
        <v>0</v>
      </c>
      <c r="D232" s="193">
        <f>C232+D233-D234</f>
        <v>0</v>
      </c>
      <c r="E232" s="193">
        <f t="shared" ref="E232:N232" si="34">D232+E233-E234</f>
        <v>0</v>
      </c>
      <c r="F232" s="193">
        <f t="shared" si="34"/>
        <v>0</v>
      </c>
      <c r="G232" s="193">
        <f t="shared" si="34"/>
        <v>0</v>
      </c>
      <c r="H232" s="193">
        <f t="shared" si="34"/>
        <v>0</v>
      </c>
      <c r="I232" s="193">
        <f t="shared" si="34"/>
        <v>0</v>
      </c>
      <c r="J232" s="193">
        <f t="shared" si="34"/>
        <v>0</v>
      </c>
      <c r="K232" s="193">
        <f t="shared" si="34"/>
        <v>0</v>
      </c>
      <c r="L232" s="193">
        <f t="shared" si="34"/>
        <v>0</v>
      </c>
      <c r="M232" s="193">
        <f t="shared" si="34"/>
        <v>0</v>
      </c>
      <c r="N232" s="193">
        <f t="shared" si="34"/>
        <v>0</v>
      </c>
      <c r="O232" s="193">
        <f t="shared" ref="O232:Z232" si="35">N232+O233-O234</f>
        <v>0</v>
      </c>
      <c r="P232" s="193">
        <f t="shared" si="35"/>
        <v>0</v>
      </c>
      <c r="Q232" s="193">
        <f t="shared" si="35"/>
        <v>0</v>
      </c>
      <c r="R232" s="193">
        <f t="shared" si="35"/>
        <v>0</v>
      </c>
      <c r="S232" s="193">
        <f t="shared" si="35"/>
        <v>0</v>
      </c>
      <c r="T232" s="193">
        <f t="shared" si="35"/>
        <v>0</v>
      </c>
      <c r="U232" s="193">
        <f t="shared" si="35"/>
        <v>0</v>
      </c>
      <c r="V232" s="193">
        <f t="shared" si="35"/>
        <v>0</v>
      </c>
      <c r="W232" s="193">
        <f t="shared" si="35"/>
        <v>0</v>
      </c>
      <c r="X232" s="193">
        <f t="shared" si="35"/>
        <v>0</v>
      </c>
      <c r="Y232" s="193">
        <f t="shared" si="35"/>
        <v>0</v>
      </c>
      <c r="Z232" s="193">
        <f t="shared" si="35"/>
        <v>0</v>
      </c>
    </row>
    <row r="233" spans="1:26" ht="12.75" customHeight="1" outlineLevel="1">
      <c r="A233" s="140" t="s">
        <v>74</v>
      </c>
      <c r="C233" s="226">
        <v>0</v>
      </c>
      <c r="D233" s="208">
        <v>0</v>
      </c>
      <c r="E233" s="208">
        <v>0</v>
      </c>
      <c r="F233" s="208">
        <v>0</v>
      </c>
      <c r="G233" s="208">
        <v>0</v>
      </c>
      <c r="H233" s="208">
        <v>0</v>
      </c>
      <c r="I233" s="208">
        <v>0</v>
      </c>
      <c r="J233" s="208">
        <v>0</v>
      </c>
      <c r="K233" s="208">
        <v>0</v>
      </c>
      <c r="L233" s="208">
        <v>0</v>
      </c>
      <c r="M233" s="208">
        <v>0</v>
      </c>
      <c r="N233" s="208">
        <v>0</v>
      </c>
      <c r="O233" s="208">
        <v>0</v>
      </c>
      <c r="P233" s="208">
        <v>0</v>
      </c>
      <c r="Q233" s="208">
        <v>0</v>
      </c>
      <c r="R233" s="208">
        <v>0</v>
      </c>
      <c r="S233" s="208">
        <v>0</v>
      </c>
      <c r="T233" s="208">
        <v>0</v>
      </c>
      <c r="U233" s="208">
        <v>0</v>
      </c>
      <c r="V233" s="208">
        <v>0</v>
      </c>
      <c r="W233" s="208">
        <v>0</v>
      </c>
      <c r="X233" s="208">
        <v>0</v>
      </c>
      <c r="Y233" s="208">
        <v>0</v>
      </c>
      <c r="Z233" s="208">
        <v>0</v>
      </c>
    </row>
    <row r="234" spans="1:26" ht="12.75" customHeight="1" outlineLevel="1" thickBot="1">
      <c r="A234" s="140" t="s">
        <v>75</v>
      </c>
      <c r="C234" s="227">
        <v>0</v>
      </c>
      <c r="D234" s="228">
        <v>0</v>
      </c>
      <c r="E234" s="228">
        <v>0</v>
      </c>
      <c r="F234" s="228">
        <v>0</v>
      </c>
      <c r="G234" s="228">
        <v>0</v>
      </c>
      <c r="H234" s="228">
        <v>0</v>
      </c>
      <c r="I234" s="228">
        <v>0</v>
      </c>
      <c r="J234" s="228">
        <v>0</v>
      </c>
      <c r="K234" s="228">
        <v>0</v>
      </c>
      <c r="L234" s="228">
        <v>0</v>
      </c>
      <c r="M234" s="228">
        <v>0</v>
      </c>
      <c r="N234" s="228">
        <v>0</v>
      </c>
      <c r="O234" s="228">
        <v>0</v>
      </c>
      <c r="P234" s="228">
        <v>0</v>
      </c>
      <c r="Q234" s="228">
        <v>0</v>
      </c>
      <c r="R234" s="228">
        <v>0</v>
      </c>
      <c r="S234" s="228">
        <v>0</v>
      </c>
      <c r="T234" s="228">
        <v>0</v>
      </c>
      <c r="U234" s="228">
        <v>0</v>
      </c>
      <c r="V234" s="228">
        <v>0</v>
      </c>
      <c r="W234" s="228">
        <v>0</v>
      </c>
      <c r="X234" s="228">
        <v>0</v>
      </c>
      <c r="Y234" s="228">
        <v>0</v>
      </c>
      <c r="Z234" s="228">
        <v>0</v>
      </c>
    </row>
    <row r="235" spans="1:26" ht="12.75" customHeight="1" outlineLevel="1" thickBot="1">
      <c r="A235" s="140" t="s">
        <v>76</v>
      </c>
      <c r="B235" s="225">
        <v>0</v>
      </c>
      <c r="C235" s="194">
        <f>B235/12*Расчеты!B9</f>
        <v>0</v>
      </c>
      <c r="D235" s="195">
        <f t="shared" ref="D235:N235" si="36">C235</f>
        <v>0</v>
      </c>
      <c r="E235" s="195">
        <f t="shared" si="36"/>
        <v>0</v>
      </c>
      <c r="F235" s="195">
        <f t="shared" si="36"/>
        <v>0</v>
      </c>
      <c r="G235" s="195">
        <f t="shared" si="36"/>
        <v>0</v>
      </c>
      <c r="H235" s="195">
        <f t="shared" si="36"/>
        <v>0</v>
      </c>
      <c r="I235" s="195">
        <f t="shared" si="36"/>
        <v>0</v>
      </c>
      <c r="J235" s="195">
        <f t="shared" si="36"/>
        <v>0</v>
      </c>
      <c r="K235" s="195">
        <f t="shared" si="36"/>
        <v>0</v>
      </c>
      <c r="L235" s="195">
        <f t="shared" si="36"/>
        <v>0</v>
      </c>
      <c r="M235" s="195">
        <f t="shared" si="36"/>
        <v>0</v>
      </c>
      <c r="N235" s="195">
        <f t="shared" si="36"/>
        <v>0</v>
      </c>
      <c r="O235" s="195">
        <f t="shared" ref="O235:Z235" si="37">N235</f>
        <v>0</v>
      </c>
      <c r="P235" s="195">
        <f t="shared" si="37"/>
        <v>0</v>
      </c>
      <c r="Q235" s="195">
        <f t="shared" si="37"/>
        <v>0</v>
      </c>
      <c r="R235" s="195">
        <f t="shared" si="37"/>
        <v>0</v>
      </c>
      <c r="S235" s="195">
        <f t="shared" si="37"/>
        <v>0</v>
      </c>
      <c r="T235" s="195">
        <f t="shared" si="37"/>
        <v>0</v>
      </c>
      <c r="U235" s="195">
        <f t="shared" si="37"/>
        <v>0</v>
      </c>
      <c r="V235" s="195">
        <f t="shared" si="37"/>
        <v>0</v>
      </c>
      <c r="W235" s="195">
        <f t="shared" si="37"/>
        <v>0</v>
      </c>
      <c r="X235" s="195">
        <f t="shared" si="37"/>
        <v>0</v>
      </c>
      <c r="Y235" s="195">
        <f t="shared" si="37"/>
        <v>0</v>
      </c>
      <c r="Z235" s="195">
        <f t="shared" si="37"/>
        <v>0</v>
      </c>
    </row>
    <row r="236" spans="1:26" ht="12.75" customHeight="1" outlineLevel="1" thickBot="1">
      <c r="A236" s="140" t="s">
        <v>77</v>
      </c>
      <c r="C236" s="196">
        <f t="shared" ref="C236:N236" si="38">C235*C232</f>
        <v>0</v>
      </c>
      <c r="D236" s="179">
        <f t="shared" si="38"/>
        <v>0</v>
      </c>
      <c r="E236" s="179">
        <f t="shared" si="38"/>
        <v>0</v>
      </c>
      <c r="F236" s="179">
        <f t="shared" si="38"/>
        <v>0</v>
      </c>
      <c r="G236" s="179">
        <f t="shared" si="38"/>
        <v>0</v>
      </c>
      <c r="H236" s="179">
        <f t="shared" si="38"/>
        <v>0</v>
      </c>
      <c r="I236" s="179">
        <f t="shared" si="38"/>
        <v>0</v>
      </c>
      <c r="J236" s="179">
        <f t="shared" si="38"/>
        <v>0</v>
      </c>
      <c r="K236" s="179">
        <f t="shared" si="38"/>
        <v>0</v>
      </c>
      <c r="L236" s="179">
        <f t="shared" si="38"/>
        <v>0</v>
      </c>
      <c r="M236" s="179">
        <f t="shared" si="38"/>
        <v>0</v>
      </c>
      <c r="N236" s="179">
        <f t="shared" si="38"/>
        <v>0</v>
      </c>
      <c r="O236" s="179">
        <f t="shared" ref="O236:Z236" si="39">O235*O232</f>
        <v>0</v>
      </c>
      <c r="P236" s="179">
        <f t="shared" si="39"/>
        <v>0</v>
      </c>
      <c r="Q236" s="179">
        <f t="shared" si="39"/>
        <v>0</v>
      </c>
      <c r="R236" s="179">
        <f t="shared" si="39"/>
        <v>0</v>
      </c>
      <c r="S236" s="179">
        <f t="shared" si="39"/>
        <v>0</v>
      </c>
      <c r="T236" s="179">
        <f t="shared" si="39"/>
        <v>0</v>
      </c>
      <c r="U236" s="179">
        <f t="shared" si="39"/>
        <v>0</v>
      </c>
      <c r="V236" s="179">
        <f t="shared" si="39"/>
        <v>0</v>
      </c>
      <c r="W236" s="179">
        <f t="shared" si="39"/>
        <v>0</v>
      </c>
      <c r="X236" s="179">
        <f t="shared" si="39"/>
        <v>0</v>
      </c>
      <c r="Y236" s="179">
        <f t="shared" si="39"/>
        <v>0</v>
      </c>
      <c r="Z236" s="179">
        <f t="shared" si="39"/>
        <v>0</v>
      </c>
    </row>
    <row r="237" spans="1:26" ht="12.75" customHeight="1" thickBot="1">
      <c r="A237" s="132" t="str">
        <f>A189</f>
        <v>Кредит 3</v>
      </c>
      <c r="B237" s="141"/>
      <c r="C237" s="160"/>
      <c r="D237" s="160"/>
      <c r="E237" s="160"/>
      <c r="F237" s="160"/>
      <c r="G237" s="160"/>
      <c r="H237" s="160"/>
      <c r="I237" s="160"/>
      <c r="J237" s="160"/>
      <c r="K237" s="160"/>
      <c r="L237" s="160"/>
      <c r="M237" s="160"/>
      <c r="N237" s="160"/>
      <c r="O237" s="160"/>
      <c r="P237" s="160"/>
      <c r="Q237" s="160"/>
      <c r="R237" s="160"/>
      <c r="S237" s="160"/>
      <c r="T237" s="160"/>
      <c r="U237" s="160"/>
      <c r="V237" s="160"/>
      <c r="W237" s="160"/>
      <c r="X237" s="160"/>
      <c r="Y237" s="160"/>
      <c r="Z237" s="160"/>
    </row>
    <row r="238" spans="1:26" ht="12.75" customHeight="1" outlineLevel="1" thickBot="1">
      <c r="A238" s="140" t="s">
        <v>73</v>
      </c>
      <c r="B238" s="191">
        <f>C189</f>
        <v>0</v>
      </c>
      <c r="C238" s="192">
        <f>B238+C239-C240</f>
        <v>0</v>
      </c>
      <c r="D238" s="193">
        <f>C238-D240+D239</f>
        <v>0</v>
      </c>
      <c r="E238" s="193">
        <f t="shared" ref="E238:N238" si="40">D238-E240+E239</f>
        <v>0</v>
      </c>
      <c r="F238" s="193">
        <f t="shared" si="40"/>
        <v>0</v>
      </c>
      <c r="G238" s="193">
        <f t="shared" si="40"/>
        <v>0</v>
      </c>
      <c r="H238" s="193">
        <f t="shared" si="40"/>
        <v>0</v>
      </c>
      <c r="I238" s="193">
        <f t="shared" si="40"/>
        <v>0</v>
      </c>
      <c r="J238" s="193">
        <f t="shared" si="40"/>
        <v>0</v>
      </c>
      <c r="K238" s="193">
        <f t="shared" si="40"/>
        <v>0</v>
      </c>
      <c r="L238" s="193">
        <f t="shared" si="40"/>
        <v>0</v>
      </c>
      <c r="M238" s="193">
        <f t="shared" si="40"/>
        <v>0</v>
      </c>
      <c r="N238" s="193">
        <f t="shared" si="40"/>
        <v>0</v>
      </c>
      <c r="O238" s="193">
        <f t="shared" ref="O238:Z238" si="41">N238-O240+O239</f>
        <v>0</v>
      </c>
      <c r="P238" s="193">
        <f t="shared" si="41"/>
        <v>0</v>
      </c>
      <c r="Q238" s="193">
        <f t="shared" si="41"/>
        <v>0</v>
      </c>
      <c r="R238" s="193">
        <f t="shared" si="41"/>
        <v>0</v>
      </c>
      <c r="S238" s="193">
        <f t="shared" si="41"/>
        <v>0</v>
      </c>
      <c r="T238" s="193">
        <f t="shared" si="41"/>
        <v>0</v>
      </c>
      <c r="U238" s="193">
        <f t="shared" si="41"/>
        <v>0</v>
      </c>
      <c r="V238" s="193">
        <f t="shared" si="41"/>
        <v>0</v>
      </c>
      <c r="W238" s="193">
        <f t="shared" si="41"/>
        <v>0</v>
      </c>
      <c r="X238" s="193">
        <f t="shared" si="41"/>
        <v>0</v>
      </c>
      <c r="Y238" s="193">
        <f t="shared" si="41"/>
        <v>0</v>
      </c>
      <c r="Z238" s="193">
        <f t="shared" si="41"/>
        <v>0</v>
      </c>
    </row>
    <row r="239" spans="1:26" ht="12.75" customHeight="1" outlineLevel="1">
      <c r="A239" s="140" t="s">
        <v>74</v>
      </c>
      <c r="C239" s="227">
        <v>0</v>
      </c>
      <c r="D239" s="228">
        <v>0</v>
      </c>
      <c r="E239" s="228">
        <v>0</v>
      </c>
      <c r="F239" s="228">
        <v>0</v>
      </c>
      <c r="G239" s="228">
        <v>0</v>
      </c>
      <c r="H239" s="228">
        <v>0</v>
      </c>
      <c r="I239" s="228">
        <v>0</v>
      </c>
      <c r="J239" s="228">
        <v>0</v>
      </c>
      <c r="K239" s="228">
        <v>0</v>
      </c>
      <c r="L239" s="228">
        <v>0</v>
      </c>
      <c r="M239" s="228">
        <v>0</v>
      </c>
      <c r="N239" s="228">
        <v>0</v>
      </c>
      <c r="O239" s="228">
        <v>0</v>
      </c>
      <c r="P239" s="228">
        <v>0</v>
      </c>
      <c r="Q239" s="228">
        <v>0</v>
      </c>
      <c r="R239" s="228">
        <v>0</v>
      </c>
      <c r="S239" s="228">
        <v>0</v>
      </c>
      <c r="T239" s="228">
        <v>0</v>
      </c>
      <c r="U239" s="228">
        <v>0</v>
      </c>
      <c r="V239" s="228">
        <v>0</v>
      </c>
      <c r="W239" s="228">
        <v>0</v>
      </c>
      <c r="X239" s="228">
        <v>0</v>
      </c>
      <c r="Y239" s="228">
        <v>0</v>
      </c>
      <c r="Z239" s="228">
        <v>0</v>
      </c>
    </row>
    <row r="240" spans="1:26" ht="12.75" customHeight="1" outlineLevel="1" thickBot="1">
      <c r="A240" s="140" t="s">
        <v>75</v>
      </c>
      <c r="C240" s="227">
        <v>0</v>
      </c>
      <c r="D240" s="228">
        <v>0</v>
      </c>
      <c r="E240" s="228">
        <v>0</v>
      </c>
      <c r="F240" s="228">
        <v>0</v>
      </c>
      <c r="G240" s="228">
        <v>0</v>
      </c>
      <c r="H240" s="228">
        <v>0</v>
      </c>
      <c r="I240" s="228">
        <v>0</v>
      </c>
      <c r="J240" s="228">
        <v>0</v>
      </c>
      <c r="K240" s="228">
        <v>0</v>
      </c>
      <c r="L240" s="228">
        <v>0</v>
      </c>
      <c r="M240" s="228">
        <v>0</v>
      </c>
      <c r="N240" s="228">
        <v>0</v>
      </c>
      <c r="O240" s="228">
        <v>0</v>
      </c>
      <c r="P240" s="228">
        <v>0</v>
      </c>
      <c r="Q240" s="228">
        <v>0</v>
      </c>
      <c r="R240" s="228">
        <v>0</v>
      </c>
      <c r="S240" s="228">
        <v>0</v>
      </c>
      <c r="T240" s="228">
        <v>0</v>
      </c>
      <c r="U240" s="228">
        <v>0</v>
      </c>
      <c r="V240" s="228">
        <v>0</v>
      </c>
      <c r="W240" s="228">
        <v>0</v>
      </c>
      <c r="X240" s="228">
        <v>0</v>
      </c>
      <c r="Y240" s="228">
        <v>0</v>
      </c>
      <c r="Z240" s="228">
        <v>0</v>
      </c>
    </row>
    <row r="241" spans="1:26" ht="12.75" customHeight="1" outlineLevel="1" thickBot="1">
      <c r="A241" s="140" t="s">
        <v>76</v>
      </c>
      <c r="B241" s="225">
        <v>0</v>
      </c>
      <c r="C241" s="194">
        <f>B241/12*Расчеты!B9</f>
        <v>0</v>
      </c>
      <c r="D241" s="195">
        <f t="shared" ref="D241:N241" si="42">C241</f>
        <v>0</v>
      </c>
      <c r="E241" s="195">
        <f t="shared" si="42"/>
        <v>0</v>
      </c>
      <c r="F241" s="195">
        <f t="shared" si="42"/>
        <v>0</v>
      </c>
      <c r="G241" s="195">
        <f t="shared" si="42"/>
        <v>0</v>
      </c>
      <c r="H241" s="195">
        <f t="shared" si="42"/>
        <v>0</v>
      </c>
      <c r="I241" s="195">
        <f t="shared" si="42"/>
        <v>0</v>
      </c>
      <c r="J241" s="195">
        <f t="shared" si="42"/>
        <v>0</v>
      </c>
      <c r="K241" s="195">
        <f t="shared" si="42"/>
        <v>0</v>
      </c>
      <c r="L241" s="195">
        <f t="shared" si="42"/>
        <v>0</v>
      </c>
      <c r="M241" s="195">
        <f t="shared" si="42"/>
        <v>0</v>
      </c>
      <c r="N241" s="195">
        <f t="shared" si="42"/>
        <v>0</v>
      </c>
      <c r="O241" s="195">
        <f t="shared" ref="O241:Z241" si="43">N241</f>
        <v>0</v>
      </c>
      <c r="P241" s="195">
        <f t="shared" si="43"/>
        <v>0</v>
      </c>
      <c r="Q241" s="195">
        <f t="shared" si="43"/>
        <v>0</v>
      </c>
      <c r="R241" s="195">
        <f t="shared" si="43"/>
        <v>0</v>
      </c>
      <c r="S241" s="195">
        <f t="shared" si="43"/>
        <v>0</v>
      </c>
      <c r="T241" s="195">
        <f t="shared" si="43"/>
        <v>0</v>
      </c>
      <c r="U241" s="195">
        <f t="shared" si="43"/>
        <v>0</v>
      </c>
      <c r="V241" s="195">
        <f t="shared" si="43"/>
        <v>0</v>
      </c>
      <c r="W241" s="195">
        <f t="shared" si="43"/>
        <v>0</v>
      </c>
      <c r="X241" s="195">
        <f t="shared" si="43"/>
        <v>0</v>
      </c>
      <c r="Y241" s="195">
        <f t="shared" si="43"/>
        <v>0</v>
      </c>
      <c r="Z241" s="195">
        <f t="shared" si="43"/>
        <v>0</v>
      </c>
    </row>
    <row r="242" spans="1:26" ht="12.75" customHeight="1" outlineLevel="1" thickBot="1">
      <c r="A242" s="140" t="s">
        <v>77</v>
      </c>
      <c r="C242" s="196">
        <f t="shared" ref="C242:N242" si="44">C238*C241</f>
        <v>0</v>
      </c>
      <c r="D242" s="179">
        <f t="shared" si="44"/>
        <v>0</v>
      </c>
      <c r="E242" s="179">
        <f t="shared" si="44"/>
        <v>0</v>
      </c>
      <c r="F242" s="179">
        <f t="shared" si="44"/>
        <v>0</v>
      </c>
      <c r="G242" s="179">
        <f t="shared" si="44"/>
        <v>0</v>
      </c>
      <c r="H242" s="179">
        <f t="shared" si="44"/>
        <v>0</v>
      </c>
      <c r="I242" s="179">
        <f t="shared" si="44"/>
        <v>0</v>
      </c>
      <c r="J242" s="179">
        <f t="shared" si="44"/>
        <v>0</v>
      </c>
      <c r="K242" s="179">
        <f t="shared" si="44"/>
        <v>0</v>
      </c>
      <c r="L242" s="179">
        <f t="shared" si="44"/>
        <v>0</v>
      </c>
      <c r="M242" s="179">
        <f t="shared" si="44"/>
        <v>0</v>
      </c>
      <c r="N242" s="179">
        <f t="shared" si="44"/>
        <v>0</v>
      </c>
      <c r="O242" s="179">
        <f t="shared" ref="O242:Z242" si="45">O238*O241</f>
        <v>0</v>
      </c>
      <c r="P242" s="179">
        <f t="shared" si="45"/>
        <v>0</v>
      </c>
      <c r="Q242" s="179">
        <f t="shared" si="45"/>
        <v>0</v>
      </c>
      <c r="R242" s="179">
        <f t="shared" si="45"/>
        <v>0</v>
      </c>
      <c r="S242" s="179">
        <f t="shared" si="45"/>
        <v>0</v>
      </c>
      <c r="T242" s="179">
        <f t="shared" si="45"/>
        <v>0</v>
      </c>
      <c r="U242" s="179">
        <f t="shared" si="45"/>
        <v>0</v>
      </c>
      <c r="V242" s="179">
        <f t="shared" si="45"/>
        <v>0</v>
      </c>
      <c r="W242" s="179">
        <f t="shared" si="45"/>
        <v>0</v>
      </c>
      <c r="X242" s="179">
        <f t="shared" si="45"/>
        <v>0</v>
      </c>
      <c r="Y242" s="179">
        <f t="shared" si="45"/>
        <v>0</v>
      </c>
      <c r="Z242" s="179">
        <f t="shared" si="45"/>
        <v>0</v>
      </c>
    </row>
    <row r="243" spans="1:26" ht="12.75" customHeight="1" thickBot="1"/>
    <row r="244" spans="1:26" s="189" customFormat="1" ht="12.75" customHeight="1">
      <c r="A244" s="140" t="s">
        <v>78</v>
      </c>
      <c r="B244" s="187"/>
      <c r="C244" s="197">
        <f t="shared" ref="C244:N244" si="46">C230+C236+C242</f>
        <v>0</v>
      </c>
      <c r="D244" s="197">
        <f t="shared" si="46"/>
        <v>0</v>
      </c>
      <c r="E244" s="197">
        <f t="shared" si="46"/>
        <v>0</v>
      </c>
      <c r="F244" s="197">
        <f t="shared" si="46"/>
        <v>0</v>
      </c>
      <c r="G244" s="197">
        <f t="shared" si="46"/>
        <v>0</v>
      </c>
      <c r="H244" s="197">
        <f t="shared" si="46"/>
        <v>0</v>
      </c>
      <c r="I244" s="197">
        <f t="shared" si="46"/>
        <v>0</v>
      </c>
      <c r="J244" s="197">
        <f t="shared" si="46"/>
        <v>0</v>
      </c>
      <c r="K244" s="197">
        <f t="shared" si="46"/>
        <v>0</v>
      </c>
      <c r="L244" s="197">
        <f t="shared" si="46"/>
        <v>0</v>
      </c>
      <c r="M244" s="197">
        <f t="shared" si="46"/>
        <v>0</v>
      </c>
      <c r="N244" s="197">
        <f t="shared" si="46"/>
        <v>0</v>
      </c>
      <c r="O244" s="197">
        <f t="shared" ref="O244:Z244" si="47">O230+O236+O242</f>
        <v>0</v>
      </c>
      <c r="P244" s="197">
        <f t="shared" si="47"/>
        <v>0</v>
      </c>
      <c r="Q244" s="197">
        <f t="shared" si="47"/>
        <v>0</v>
      </c>
      <c r="R244" s="197">
        <f t="shared" si="47"/>
        <v>0</v>
      </c>
      <c r="S244" s="197">
        <f t="shared" si="47"/>
        <v>0</v>
      </c>
      <c r="T244" s="197">
        <f t="shared" si="47"/>
        <v>0</v>
      </c>
      <c r="U244" s="197">
        <f t="shared" si="47"/>
        <v>0</v>
      </c>
      <c r="V244" s="197">
        <f t="shared" si="47"/>
        <v>0</v>
      </c>
      <c r="W244" s="197">
        <f t="shared" si="47"/>
        <v>0</v>
      </c>
      <c r="X244" s="197">
        <f t="shared" si="47"/>
        <v>0</v>
      </c>
      <c r="Y244" s="197">
        <f t="shared" si="47"/>
        <v>0</v>
      </c>
      <c r="Z244" s="197">
        <f t="shared" si="47"/>
        <v>0</v>
      </c>
    </row>
    <row r="245" spans="1:26" s="189" customFormat="1" ht="12.75" customHeight="1">
      <c r="A245" s="140" t="s">
        <v>79</v>
      </c>
      <c r="B245" s="187"/>
      <c r="C245" s="198">
        <f t="shared" ref="C245:N245" si="48">C227+C233+C239</f>
        <v>0</v>
      </c>
      <c r="D245" s="198">
        <f t="shared" si="48"/>
        <v>0</v>
      </c>
      <c r="E245" s="198">
        <f t="shared" si="48"/>
        <v>0</v>
      </c>
      <c r="F245" s="198">
        <f t="shared" si="48"/>
        <v>0</v>
      </c>
      <c r="G245" s="198">
        <f t="shared" si="48"/>
        <v>0</v>
      </c>
      <c r="H245" s="198">
        <f t="shared" si="48"/>
        <v>0</v>
      </c>
      <c r="I245" s="198">
        <f t="shared" si="48"/>
        <v>0</v>
      </c>
      <c r="J245" s="198">
        <f t="shared" si="48"/>
        <v>0</v>
      </c>
      <c r="K245" s="198">
        <f t="shared" si="48"/>
        <v>0</v>
      </c>
      <c r="L245" s="198">
        <f t="shared" si="48"/>
        <v>0</v>
      </c>
      <c r="M245" s="198">
        <f t="shared" si="48"/>
        <v>0</v>
      </c>
      <c r="N245" s="198">
        <f t="shared" si="48"/>
        <v>0</v>
      </c>
      <c r="O245" s="198">
        <f t="shared" ref="O245:Z245" si="49">O227+O233+O239</f>
        <v>0</v>
      </c>
      <c r="P245" s="198">
        <f t="shared" si="49"/>
        <v>0</v>
      </c>
      <c r="Q245" s="198">
        <f t="shared" si="49"/>
        <v>0</v>
      </c>
      <c r="R245" s="198">
        <f t="shared" si="49"/>
        <v>0</v>
      </c>
      <c r="S245" s="198">
        <f t="shared" si="49"/>
        <v>0</v>
      </c>
      <c r="T245" s="198">
        <f t="shared" si="49"/>
        <v>0</v>
      </c>
      <c r="U245" s="198">
        <f t="shared" si="49"/>
        <v>0</v>
      </c>
      <c r="V245" s="198">
        <f t="shared" si="49"/>
        <v>0</v>
      </c>
      <c r="W245" s="198">
        <f t="shared" si="49"/>
        <v>0</v>
      </c>
      <c r="X245" s="198">
        <f t="shared" si="49"/>
        <v>0</v>
      </c>
      <c r="Y245" s="198">
        <f t="shared" si="49"/>
        <v>0</v>
      </c>
      <c r="Z245" s="198">
        <f t="shared" si="49"/>
        <v>0</v>
      </c>
    </row>
    <row r="246" spans="1:26" s="189" customFormat="1" ht="12.75" customHeight="1">
      <c r="A246" s="140" t="s">
        <v>80</v>
      </c>
      <c r="B246" s="187"/>
      <c r="C246" s="198">
        <f t="shared" ref="C246:N246" si="50">C228+C234+C240</f>
        <v>0</v>
      </c>
      <c r="D246" s="198">
        <f t="shared" si="50"/>
        <v>0</v>
      </c>
      <c r="E246" s="198">
        <f t="shared" si="50"/>
        <v>0</v>
      </c>
      <c r="F246" s="198">
        <f t="shared" si="50"/>
        <v>0</v>
      </c>
      <c r="G246" s="198">
        <f t="shared" si="50"/>
        <v>0</v>
      </c>
      <c r="H246" s="198">
        <f t="shared" si="50"/>
        <v>0</v>
      </c>
      <c r="I246" s="198">
        <f t="shared" si="50"/>
        <v>0</v>
      </c>
      <c r="J246" s="198">
        <f t="shared" si="50"/>
        <v>0</v>
      </c>
      <c r="K246" s="198">
        <f t="shared" si="50"/>
        <v>0</v>
      </c>
      <c r="L246" s="198">
        <f t="shared" si="50"/>
        <v>0</v>
      </c>
      <c r="M246" s="198">
        <f t="shared" si="50"/>
        <v>0</v>
      </c>
      <c r="N246" s="198">
        <f t="shared" si="50"/>
        <v>0</v>
      </c>
      <c r="O246" s="198">
        <f t="shared" ref="O246:Z246" si="51">O228+O234+O240</f>
        <v>0</v>
      </c>
      <c r="P246" s="198">
        <f t="shared" si="51"/>
        <v>0</v>
      </c>
      <c r="Q246" s="198">
        <f t="shared" si="51"/>
        <v>0</v>
      </c>
      <c r="R246" s="198">
        <f t="shared" si="51"/>
        <v>0</v>
      </c>
      <c r="S246" s="198">
        <f t="shared" si="51"/>
        <v>0</v>
      </c>
      <c r="T246" s="198">
        <f t="shared" si="51"/>
        <v>0</v>
      </c>
      <c r="U246" s="198">
        <f t="shared" si="51"/>
        <v>0</v>
      </c>
      <c r="V246" s="198">
        <f t="shared" si="51"/>
        <v>0</v>
      </c>
      <c r="W246" s="198">
        <f t="shared" si="51"/>
        <v>0</v>
      </c>
      <c r="X246" s="198">
        <f t="shared" si="51"/>
        <v>0</v>
      </c>
      <c r="Y246" s="198">
        <f t="shared" si="51"/>
        <v>0</v>
      </c>
      <c r="Z246" s="198">
        <f t="shared" si="51"/>
        <v>0</v>
      </c>
    </row>
    <row r="247" spans="1:26" s="189" customFormat="1" ht="12.75" customHeight="1" thickBot="1">
      <c r="A247" s="140" t="s">
        <v>81</v>
      </c>
      <c r="B247" s="187"/>
      <c r="C247" s="199">
        <f t="shared" ref="C247:N247" si="52">C226+C232+C238</f>
        <v>0</v>
      </c>
      <c r="D247" s="199">
        <f t="shared" si="52"/>
        <v>0</v>
      </c>
      <c r="E247" s="199">
        <f t="shared" si="52"/>
        <v>0</v>
      </c>
      <c r="F247" s="199">
        <f t="shared" si="52"/>
        <v>0</v>
      </c>
      <c r="G247" s="199">
        <f t="shared" si="52"/>
        <v>0</v>
      </c>
      <c r="H247" s="199">
        <f t="shared" si="52"/>
        <v>0</v>
      </c>
      <c r="I247" s="199">
        <f t="shared" si="52"/>
        <v>0</v>
      </c>
      <c r="J247" s="199">
        <f t="shared" si="52"/>
        <v>0</v>
      </c>
      <c r="K247" s="199">
        <f t="shared" si="52"/>
        <v>0</v>
      </c>
      <c r="L247" s="199">
        <f t="shared" si="52"/>
        <v>0</v>
      </c>
      <c r="M247" s="199">
        <f t="shared" si="52"/>
        <v>0</v>
      </c>
      <c r="N247" s="199">
        <f t="shared" si="52"/>
        <v>0</v>
      </c>
      <c r="O247" s="199">
        <f t="shared" ref="O247:Z247" si="53">O226+O232+O238</f>
        <v>0</v>
      </c>
      <c r="P247" s="199">
        <f t="shared" si="53"/>
        <v>0</v>
      </c>
      <c r="Q247" s="199">
        <f t="shared" si="53"/>
        <v>0</v>
      </c>
      <c r="R247" s="199">
        <f t="shared" si="53"/>
        <v>0</v>
      </c>
      <c r="S247" s="199">
        <f t="shared" si="53"/>
        <v>0</v>
      </c>
      <c r="T247" s="199">
        <f t="shared" si="53"/>
        <v>0</v>
      </c>
      <c r="U247" s="199">
        <f t="shared" si="53"/>
        <v>0</v>
      </c>
      <c r="V247" s="199">
        <f t="shared" si="53"/>
        <v>0</v>
      </c>
      <c r="W247" s="199">
        <f t="shared" si="53"/>
        <v>0</v>
      </c>
      <c r="X247" s="199">
        <f t="shared" si="53"/>
        <v>0</v>
      </c>
      <c r="Y247" s="199">
        <f t="shared" si="53"/>
        <v>0</v>
      </c>
      <c r="Z247" s="199">
        <f t="shared" si="53"/>
        <v>0</v>
      </c>
    </row>
    <row r="248" spans="1:26" ht="12.75" customHeight="1" thickBot="1"/>
    <row r="249" spans="1:26" ht="12.75" customHeight="1" thickBot="1">
      <c r="A249" s="132" t="s">
        <v>188</v>
      </c>
      <c r="B249" s="147" t="s">
        <v>8</v>
      </c>
    </row>
    <row r="250" spans="1:26" ht="12.75" customHeight="1" outlineLevel="1">
      <c r="A250" s="237" t="s">
        <v>189</v>
      </c>
      <c r="B250" s="229">
        <v>0</v>
      </c>
    </row>
    <row r="251" spans="1:26" ht="12.75" customHeight="1" outlineLevel="1">
      <c r="A251" s="237" t="s">
        <v>190</v>
      </c>
      <c r="B251" s="230">
        <v>0</v>
      </c>
    </row>
    <row r="252" spans="1:26" ht="12.75" customHeight="1" outlineLevel="1">
      <c r="A252" s="237" t="s">
        <v>191</v>
      </c>
      <c r="B252" s="230">
        <v>0</v>
      </c>
    </row>
    <row r="253" spans="1:26" ht="12.75" customHeight="1" outlineLevel="1">
      <c r="A253" s="237" t="s">
        <v>192</v>
      </c>
      <c r="B253" s="231">
        <v>0</v>
      </c>
    </row>
    <row r="254" spans="1:26" ht="12.75" customHeight="1" outlineLevel="1" thickBot="1">
      <c r="A254" s="237" t="s">
        <v>193</v>
      </c>
      <c r="B254" s="232">
        <v>0</v>
      </c>
    </row>
    <row r="256" spans="1:26" s="101" customFormat="1" ht="12.75" customHeight="1">
      <c r="A256" s="286" t="s">
        <v>257</v>
      </c>
    </row>
    <row r="258" spans="1:1">
      <c r="A258" s="174" t="s">
        <v>258</v>
      </c>
    </row>
    <row r="259" spans="1:1">
      <c r="A259" s="174" t="s">
        <v>259</v>
      </c>
    </row>
    <row r="260" spans="1:1">
      <c r="A260" s="140"/>
    </row>
    <row r="261" spans="1:1">
      <c r="A261" s="140"/>
    </row>
  </sheetData>
  <sheetProtection sheet="1" objects="1" scenarios="1"/>
  <dataValidations xWindow="453" yWindow="279" count="2">
    <dataValidation type="whole" allowBlank="1" showInputMessage="1" showErrorMessage="1" errorTitle="Недопустимое значение" error="Значение этого параметра должно находиться в интервале от 0 до 360 дней." sqref="B132:B133" xr:uid="{00000000-0002-0000-0000-000000000000}">
      <formula1>0</formula1>
      <formula2>360</formula2>
    </dataValidation>
    <dataValidation type="whole" allowBlank="1" showErrorMessage="1" errorTitle="Недопустимое значение" error="Значение этого параметра должно находиться в интервале от 0 до 360 дней." sqref="B131" xr:uid="{00000000-0002-0000-0000-000001000000}">
      <formula1>0</formula1>
      <formula2>360</formula2>
    </dataValidation>
  </dataValidations>
  <pageMargins left="0.39370078740157483" right="0.39370078740157483" top="0.39370078740157483" bottom="0.39370078740157483" header="0.11811023622047245" footer="0.19685039370078741"/>
  <pageSetup paperSize="9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Drop Down 3">
              <controlPr defaultSize="0" autoLine="0" autoPict="0" macro="[0]!NoAction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PERIODS_SELECTION">
              <controlPr defaultSize="0" autoLine="0" autoPict="0" macro="[0]!SetPeriodsNum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Drop Down 6">
              <controlPr defaultSize="0" autoLine="0" autoPict="0" macro="[0]!SetProductsNum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Drop Down 7">
              <controlPr defaultSize="0" autoLine="0" autoPict="0" macro="[0]!NoAction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Drop Down 8">
              <controlPr defaultSize="0" autoLine="0" autoPict="0" macro="[0]!NoAction">
                <anchor moveWithCells="1">
                  <from>
                    <xdr:col>2</xdr:col>
                    <xdr:colOff>9525</xdr:colOff>
                    <xdr:row>6</xdr:row>
                    <xdr:rowOff>0</xdr:rowOff>
                  </from>
                  <to>
                    <xdr:col>2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9" name="LANG_SELECTION">
              <controlPr defaultSize="0" autoLine="0" autoPict="0" macro="[0]!ChangeLanguage">
                <anchor moveWithCells="1">
                  <from>
                    <xdr:col>1</xdr:col>
                    <xdr:colOff>0</xdr:colOff>
                    <xdr:row>34</xdr:row>
                    <xdr:rowOff>9525</xdr:rowOff>
                  </from>
                  <to>
                    <xdr:col>2</xdr:col>
                    <xdr:colOff>381000</xdr:colOff>
                    <xdr:row>35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>
    <outlinePr summaryBelow="0"/>
  </sheetPr>
  <dimension ref="A1:Z29"/>
  <sheetViews>
    <sheetView workbookViewId="0">
      <selection activeCell="C22" sqref="C22"/>
    </sheetView>
  </sheetViews>
  <sheetFormatPr defaultColWidth="9.140625" defaultRowHeight="12.95" customHeight="1"/>
  <cols>
    <col min="1" max="1" width="36.7109375" style="89" customWidth="1"/>
    <col min="2" max="2" width="36.7109375" style="89" hidden="1" customWidth="1"/>
    <col min="3" max="8" width="10.7109375" style="89" customWidth="1"/>
    <col min="9" max="26" width="10.7109375" style="89" hidden="1" customWidth="1"/>
    <col min="27" max="16384" width="9.140625" style="89"/>
  </cols>
  <sheetData>
    <row r="1" spans="1:26" s="91" customFormat="1" ht="26.1" customHeight="1" thickBot="1">
      <c r="A1" s="90" t="s">
        <v>82</v>
      </c>
      <c r="B1" s="90" t="s">
        <v>293</v>
      </c>
      <c r="C1" s="78" t="str">
        <f>Данные!C40</f>
        <v>1/2027</v>
      </c>
      <c r="D1" s="78" t="str">
        <f>Данные!D40</f>
        <v>2/2027</v>
      </c>
      <c r="E1" s="78" t="str">
        <f>Данные!E40</f>
        <v>3/2027</v>
      </c>
      <c r="F1" s="78" t="str">
        <f>Данные!F40</f>
        <v>4/2027</v>
      </c>
      <c r="G1" s="78" t="str">
        <f>Данные!G40</f>
        <v>5/2027</v>
      </c>
      <c r="H1" s="78" t="str">
        <f>Данные!H40</f>
        <v>6/2027</v>
      </c>
      <c r="I1" s="78" t="str">
        <f>Данные!I40</f>
        <v>7/2027</v>
      </c>
      <c r="J1" s="78" t="str">
        <f>Данные!J40</f>
        <v>8/2027</v>
      </c>
      <c r="K1" s="78" t="str">
        <f>Данные!K40</f>
        <v>9/2027</v>
      </c>
      <c r="L1" s="78" t="str">
        <f>Данные!L40</f>
        <v>10/2027</v>
      </c>
      <c r="M1" s="78" t="str">
        <f>Данные!M40</f>
        <v>11/2027</v>
      </c>
      <c r="N1" s="78" t="str">
        <f>Данные!N40</f>
        <v>12/2027</v>
      </c>
      <c r="O1" s="78" t="str">
        <f>Данные!O40</f>
        <v>1/2028</v>
      </c>
      <c r="P1" s="78" t="str">
        <f>Данные!P40</f>
        <v>2/2028</v>
      </c>
      <c r="Q1" s="78" t="str">
        <f>Данные!Q40</f>
        <v>3/2028</v>
      </c>
      <c r="R1" s="78" t="str">
        <f>Данные!R40</f>
        <v>4/2028</v>
      </c>
      <c r="S1" s="78" t="str">
        <f>Данные!S40</f>
        <v>5/2028</v>
      </c>
      <c r="T1" s="78" t="str">
        <f>Данные!T40</f>
        <v>6/2028</v>
      </c>
      <c r="U1" s="78" t="str">
        <f>Данные!U40</f>
        <v>7/2028</v>
      </c>
      <c r="V1" s="78" t="str">
        <f>Данные!V40</f>
        <v>8/2028</v>
      </c>
      <c r="W1" s="78" t="str">
        <f>Данные!W40</f>
        <v>9/2028</v>
      </c>
      <c r="X1" s="78" t="str">
        <f>Данные!X40</f>
        <v>10/2028</v>
      </c>
      <c r="Y1" s="78" t="str">
        <f>Данные!Y40</f>
        <v>11/2028</v>
      </c>
      <c r="Z1" s="78" t="str">
        <f>Данные!Z40</f>
        <v>12/2028</v>
      </c>
    </row>
    <row r="2" spans="1:26" ht="12.75" customHeight="1">
      <c r="A2" s="238" t="s">
        <v>125</v>
      </c>
      <c r="B2" s="238" t="s">
        <v>275</v>
      </c>
      <c r="C2" s="259">
        <f>Анализ!B44/(1+VAT)</f>
        <v>0</v>
      </c>
      <c r="D2" s="259">
        <f>Анализ!C44/(1+VAT)</f>
        <v>0</v>
      </c>
      <c r="E2" s="259">
        <f>Анализ!D44/(1+VAT)</f>
        <v>0</v>
      </c>
      <c r="F2" s="259">
        <f>Анализ!E44/(1+VAT)</f>
        <v>300000</v>
      </c>
      <c r="G2" s="259">
        <f>Анализ!F44/(1+VAT)</f>
        <v>700000</v>
      </c>
      <c r="H2" s="259">
        <f>Анализ!G44/(1+VAT)</f>
        <v>1200000</v>
      </c>
      <c r="I2" s="259">
        <f>Анализ!H44/(1+VAT)</f>
        <v>0</v>
      </c>
      <c r="J2" s="259">
        <f>Анализ!I44/(1+VAT)</f>
        <v>0</v>
      </c>
      <c r="K2" s="259">
        <f>Анализ!J44/(1+VAT)</f>
        <v>0</v>
      </c>
      <c r="L2" s="259">
        <f>Анализ!K44/(1+VAT)</f>
        <v>0</v>
      </c>
      <c r="M2" s="259">
        <f>Анализ!L44/(1+VAT)</f>
        <v>0</v>
      </c>
      <c r="N2" s="259">
        <f>Анализ!M44/(1+VAT)</f>
        <v>0</v>
      </c>
      <c r="O2" s="259">
        <f>Анализ!N44/(1+VAT)</f>
        <v>0</v>
      </c>
      <c r="P2" s="259">
        <f>Анализ!O44/(1+VAT)</f>
        <v>0</v>
      </c>
      <c r="Q2" s="259">
        <f>Анализ!P44/(1+VAT)</f>
        <v>0</v>
      </c>
      <c r="R2" s="259">
        <f>Анализ!Q44/(1+VAT)</f>
        <v>0</v>
      </c>
      <c r="S2" s="259">
        <f>Анализ!R44/(1+VAT)</f>
        <v>0</v>
      </c>
      <c r="T2" s="259">
        <f>Анализ!S44/(1+VAT)</f>
        <v>0</v>
      </c>
      <c r="U2" s="259">
        <f>Анализ!T44/(1+VAT)</f>
        <v>0</v>
      </c>
      <c r="V2" s="259">
        <f>Анализ!U44/(1+VAT)</f>
        <v>0</v>
      </c>
      <c r="W2" s="259">
        <f>Анализ!V44/(1+VAT)</f>
        <v>0</v>
      </c>
      <c r="X2" s="259">
        <f>Анализ!W44/(1+VAT)</f>
        <v>0</v>
      </c>
      <c r="Y2" s="259">
        <f>Анализ!X44/(1+VAT)</f>
        <v>0</v>
      </c>
      <c r="Z2" s="259">
        <f>Анализ!Y44/(1+VAT)</f>
        <v>0</v>
      </c>
    </row>
    <row r="3" spans="1:26" ht="12.75" customHeight="1">
      <c r="A3" s="96" t="s">
        <v>83</v>
      </c>
      <c r="B3" s="96" t="s">
        <v>276</v>
      </c>
      <c r="C3" s="260">
        <f>SUM(C4,C5)</f>
        <v>0</v>
      </c>
      <c r="D3" s="260">
        <f t="shared" ref="D3:N3" si="0">SUM(D4,D5)</f>
        <v>0</v>
      </c>
      <c r="E3" s="260">
        <f t="shared" si="0"/>
        <v>0</v>
      </c>
      <c r="F3" s="260">
        <f t="shared" si="0"/>
        <v>0</v>
      </c>
      <c r="G3" s="260">
        <f t="shared" si="0"/>
        <v>0</v>
      </c>
      <c r="H3" s="260">
        <f t="shared" si="0"/>
        <v>0</v>
      </c>
      <c r="I3" s="260">
        <f t="shared" si="0"/>
        <v>0</v>
      </c>
      <c r="J3" s="260">
        <f t="shared" si="0"/>
        <v>0</v>
      </c>
      <c r="K3" s="260">
        <f t="shared" si="0"/>
        <v>0</v>
      </c>
      <c r="L3" s="260">
        <f t="shared" si="0"/>
        <v>0</v>
      </c>
      <c r="M3" s="260">
        <f t="shared" si="0"/>
        <v>0</v>
      </c>
      <c r="N3" s="260">
        <f t="shared" si="0"/>
        <v>0</v>
      </c>
      <c r="O3" s="260">
        <f t="shared" ref="O3:Z3" si="1">SUM(O4,O5)</f>
        <v>0</v>
      </c>
      <c r="P3" s="260">
        <f t="shared" si="1"/>
        <v>0</v>
      </c>
      <c r="Q3" s="260">
        <f t="shared" si="1"/>
        <v>0</v>
      </c>
      <c r="R3" s="260">
        <f t="shared" si="1"/>
        <v>0</v>
      </c>
      <c r="S3" s="260">
        <f t="shared" si="1"/>
        <v>0</v>
      </c>
      <c r="T3" s="260">
        <f t="shared" si="1"/>
        <v>0</v>
      </c>
      <c r="U3" s="260">
        <f t="shared" si="1"/>
        <v>0</v>
      </c>
      <c r="V3" s="260">
        <f t="shared" si="1"/>
        <v>0</v>
      </c>
      <c r="W3" s="260">
        <f t="shared" si="1"/>
        <v>0</v>
      </c>
      <c r="X3" s="260">
        <f t="shared" si="1"/>
        <v>0</v>
      </c>
      <c r="Y3" s="260">
        <f t="shared" si="1"/>
        <v>0</v>
      </c>
      <c r="Z3" s="260">
        <f t="shared" si="1"/>
        <v>0</v>
      </c>
    </row>
    <row r="4" spans="1:26" ht="12.75" customHeight="1">
      <c r="A4" s="94" t="s">
        <v>241</v>
      </c>
      <c r="B4" s="94" t="s">
        <v>278</v>
      </c>
      <c r="C4" s="261">
        <f>Анализ!B65/(1+VAT)</f>
        <v>0</v>
      </c>
      <c r="D4" s="261">
        <f>Анализ!C65/(1+VAT)</f>
        <v>0</v>
      </c>
      <c r="E4" s="261">
        <f>Анализ!D65/(1+VAT)</f>
        <v>0</v>
      </c>
      <c r="F4" s="261">
        <f>Анализ!E65/(1+VAT)</f>
        <v>0</v>
      </c>
      <c r="G4" s="261">
        <f>Анализ!F65/(1+VAT)</f>
        <v>0</v>
      </c>
      <c r="H4" s="261">
        <f>Анализ!G65/(1+VAT)</f>
        <v>0</v>
      </c>
      <c r="I4" s="261">
        <f>Анализ!H65/(1+VAT)</f>
        <v>0</v>
      </c>
      <c r="J4" s="261">
        <f>Анализ!I65/(1+VAT)</f>
        <v>0</v>
      </c>
      <c r="K4" s="261">
        <f>Анализ!J65/(1+VAT)</f>
        <v>0</v>
      </c>
      <c r="L4" s="261">
        <f>Анализ!K65/(1+VAT)</f>
        <v>0</v>
      </c>
      <c r="M4" s="261">
        <f>Анализ!L65/(1+VAT)</f>
        <v>0</v>
      </c>
      <c r="N4" s="261">
        <f>Анализ!M65/(1+VAT)</f>
        <v>0</v>
      </c>
      <c r="O4" s="261">
        <f>Анализ!N65/(1+VAT)</f>
        <v>0</v>
      </c>
      <c r="P4" s="261">
        <f>Анализ!O65/(1+VAT)</f>
        <v>0</v>
      </c>
      <c r="Q4" s="261">
        <f>Анализ!P65/(1+VAT)</f>
        <v>0</v>
      </c>
      <c r="R4" s="261">
        <f>Анализ!Q65/(1+VAT)</f>
        <v>0</v>
      </c>
      <c r="S4" s="261">
        <f>Анализ!R65/(1+VAT)</f>
        <v>0</v>
      </c>
      <c r="T4" s="261">
        <f>Анализ!S65/(1+VAT)</f>
        <v>0</v>
      </c>
      <c r="U4" s="261">
        <f>Анализ!T65/(1+VAT)</f>
        <v>0</v>
      </c>
      <c r="V4" s="261">
        <f>Анализ!U65/(1+VAT)</f>
        <v>0</v>
      </c>
      <c r="W4" s="261">
        <f>Анализ!V65/(1+VAT)</f>
        <v>0</v>
      </c>
      <c r="X4" s="261">
        <f>Анализ!W65/(1+VAT)</f>
        <v>0</v>
      </c>
      <c r="Y4" s="261">
        <f>Анализ!X65/(1+VAT)</f>
        <v>0</v>
      </c>
      <c r="Z4" s="261">
        <f>Анализ!Y65/(1+VAT)</f>
        <v>0</v>
      </c>
    </row>
    <row r="5" spans="1:26" ht="12.75" customHeight="1">
      <c r="A5" s="94" t="s">
        <v>242</v>
      </c>
      <c r="B5" s="94" t="s">
        <v>279</v>
      </c>
      <c r="C5" s="261">
        <f>Анализ!B86*(1+Данные!$B$150)</f>
        <v>0</v>
      </c>
      <c r="D5" s="261">
        <f>Анализ!C86*(1+Данные!$B$150)</f>
        <v>0</v>
      </c>
      <c r="E5" s="261">
        <f>Анализ!D86*(1+Данные!$B$150)</f>
        <v>0</v>
      </c>
      <c r="F5" s="261">
        <f>Анализ!E86*(1+Данные!$B$150)</f>
        <v>0</v>
      </c>
      <c r="G5" s="261">
        <f>Анализ!F86*(1+Данные!$B$150)</f>
        <v>0</v>
      </c>
      <c r="H5" s="261">
        <f>Анализ!G86*(1+Данные!$B$150)</f>
        <v>0</v>
      </c>
      <c r="I5" s="261">
        <f>Анализ!H86*(1+Данные!$B$150)</f>
        <v>0</v>
      </c>
      <c r="J5" s="261">
        <f>Анализ!I86*(1+Данные!$B$150)</f>
        <v>0</v>
      </c>
      <c r="K5" s="261">
        <f>Анализ!J86*(1+Данные!$B$150)</f>
        <v>0</v>
      </c>
      <c r="L5" s="261">
        <f>Анализ!K86*(1+Данные!$B$150)</f>
        <v>0</v>
      </c>
      <c r="M5" s="261">
        <f>Анализ!L86*(1+Данные!$B$150)</f>
        <v>0</v>
      </c>
      <c r="N5" s="261">
        <f>Анализ!M86*(1+Данные!$B$150)</f>
        <v>0</v>
      </c>
      <c r="O5" s="261">
        <f>Анализ!N86*(1+Данные!$B$150)</f>
        <v>0</v>
      </c>
      <c r="P5" s="261">
        <f>Анализ!O86*(1+Данные!$B$150)</f>
        <v>0</v>
      </c>
      <c r="Q5" s="261">
        <f>Анализ!P86*(1+Данные!$B$150)</f>
        <v>0</v>
      </c>
      <c r="R5" s="261">
        <f>Анализ!Q86*(1+Данные!$B$150)</f>
        <v>0</v>
      </c>
      <c r="S5" s="261">
        <f>Анализ!R86*(1+Данные!$B$150)</f>
        <v>0</v>
      </c>
      <c r="T5" s="261">
        <f>Анализ!S86*(1+Данные!$B$150)</f>
        <v>0</v>
      </c>
      <c r="U5" s="261">
        <f>Анализ!T86*(1+Данные!$B$150)</f>
        <v>0</v>
      </c>
      <c r="V5" s="261">
        <f>Анализ!U86*(1+Данные!$B$150)</f>
        <v>0</v>
      </c>
      <c r="W5" s="261">
        <f>Анализ!V86*(1+Данные!$B$150)</f>
        <v>0</v>
      </c>
      <c r="X5" s="261">
        <f>Анализ!W86*(1+Данные!$B$150)</f>
        <v>0</v>
      </c>
      <c r="Y5" s="261">
        <f>Анализ!X86*(1+Данные!$B$150)</f>
        <v>0</v>
      </c>
      <c r="Z5" s="261">
        <f>Анализ!Y86*(1+Данные!$B$150)</f>
        <v>0</v>
      </c>
    </row>
    <row r="6" spans="1:26" ht="12.75" customHeight="1">
      <c r="A6" s="95" t="s">
        <v>240</v>
      </c>
      <c r="B6" s="95" t="s">
        <v>277</v>
      </c>
      <c r="C6" s="261">
        <f>Данные!$B$149*Прибыль!C2</f>
        <v>0</v>
      </c>
      <c r="D6" s="261">
        <f>Данные!$B$149*Прибыль!D2</f>
        <v>0</v>
      </c>
      <c r="E6" s="261">
        <f>Данные!$B$149*Прибыль!E2</f>
        <v>0</v>
      </c>
      <c r="F6" s="261">
        <f>Данные!$B$149*Прибыль!F2</f>
        <v>0</v>
      </c>
      <c r="G6" s="261">
        <f>Данные!$B$149*Прибыль!G2</f>
        <v>0</v>
      </c>
      <c r="H6" s="261">
        <f>Данные!$B$149*Прибыль!H2</f>
        <v>0</v>
      </c>
      <c r="I6" s="261">
        <f>Данные!$B$149*Прибыль!I2</f>
        <v>0</v>
      </c>
      <c r="J6" s="261">
        <f>Данные!$B$149*Прибыль!J2</f>
        <v>0</v>
      </c>
      <c r="K6" s="261">
        <f>Данные!$B$149*Прибыль!K2</f>
        <v>0</v>
      </c>
      <c r="L6" s="261">
        <f>Данные!$B$149*Прибыль!L2</f>
        <v>0</v>
      </c>
      <c r="M6" s="261">
        <f>Данные!$B$149*Прибыль!M2</f>
        <v>0</v>
      </c>
      <c r="N6" s="261">
        <f>Данные!$B$149*Прибыль!N2</f>
        <v>0</v>
      </c>
      <c r="O6" s="261">
        <f>Данные!$B$149*Прибыль!O2</f>
        <v>0</v>
      </c>
      <c r="P6" s="261">
        <f>Данные!$B$149*Прибыль!P2</f>
        <v>0</v>
      </c>
      <c r="Q6" s="261">
        <f>Данные!$B$149*Прибыль!Q2</f>
        <v>0</v>
      </c>
      <c r="R6" s="261">
        <f>Данные!$B$149*Прибыль!R2</f>
        <v>0</v>
      </c>
      <c r="S6" s="261">
        <f>Данные!$B$149*Прибыль!S2</f>
        <v>0</v>
      </c>
      <c r="T6" s="261">
        <f>Данные!$B$149*Прибыль!T2</f>
        <v>0</v>
      </c>
      <c r="U6" s="261">
        <f>Данные!$B$149*Прибыль!U2</f>
        <v>0</v>
      </c>
      <c r="V6" s="261">
        <f>Данные!$B$149*Прибыль!V2</f>
        <v>0</v>
      </c>
      <c r="W6" s="261">
        <f>Данные!$B$149*Прибыль!W2</f>
        <v>0</v>
      </c>
      <c r="X6" s="261">
        <f>Данные!$B$149*Прибыль!X2</f>
        <v>0</v>
      </c>
      <c r="Y6" s="261">
        <f>Данные!$B$149*Прибыль!Y2</f>
        <v>0</v>
      </c>
      <c r="Z6" s="261">
        <f>Данные!$B$149*Прибыль!Z2</f>
        <v>0</v>
      </c>
    </row>
    <row r="7" spans="1:26" ht="12.75" customHeight="1">
      <c r="A7" s="93" t="s">
        <v>85</v>
      </c>
      <c r="B7" s="93" t="s">
        <v>280</v>
      </c>
      <c r="C7" s="262">
        <f>C2-C3-C6</f>
        <v>0</v>
      </c>
      <c r="D7" s="262">
        <f t="shared" ref="D7:N7" si="2">D2-D3-D6</f>
        <v>0</v>
      </c>
      <c r="E7" s="262">
        <f t="shared" si="2"/>
        <v>0</v>
      </c>
      <c r="F7" s="262">
        <f t="shared" si="2"/>
        <v>300000</v>
      </c>
      <c r="G7" s="262">
        <f t="shared" si="2"/>
        <v>700000</v>
      </c>
      <c r="H7" s="262">
        <f t="shared" si="2"/>
        <v>1200000</v>
      </c>
      <c r="I7" s="262">
        <f t="shared" si="2"/>
        <v>0</v>
      </c>
      <c r="J7" s="262">
        <f t="shared" si="2"/>
        <v>0</v>
      </c>
      <c r="K7" s="262">
        <f t="shared" si="2"/>
        <v>0</v>
      </c>
      <c r="L7" s="262">
        <f t="shared" si="2"/>
        <v>0</v>
      </c>
      <c r="M7" s="262">
        <f t="shared" si="2"/>
        <v>0</v>
      </c>
      <c r="N7" s="262">
        <f t="shared" si="2"/>
        <v>0</v>
      </c>
      <c r="O7" s="262">
        <f t="shared" ref="O7:Z7" si="3">O2-O3-O6</f>
        <v>0</v>
      </c>
      <c r="P7" s="262">
        <f t="shared" si="3"/>
        <v>0</v>
      </c>
      <c r="Q7" s="262">
        <f t="shared" si="3"/>
        <v>0</v>
      </c>
      <c r="R7" s="262">
        <f t="shared" si="3"/>
        <v>0</v>
      </c>
      <c r="S7" s="262">
        <f t="shared" si="3"/>
        <v>0</v>
      </c>
      <c r="T7" s="262">
        <f t="shared" si="3"/>
        <v>0</v>
      </c>
      <c r="U7" s="262">
        <f t="shared" si="3"/>
        <v>0</v>
      </c>
      <c r="V7" s="262">
        <f t="shared" si="3"/>
        <v>0</v>
      </c>
      <c r="W7" s="262">
        <f t="shared" si="3"/>
        <v>0</v>
      </c>
      <c r="X7" s="262">
        <f t="shared" si="3"/>
        <v>0</v>
      </c>
      <c r="Y7" s="262">
        <f t="shared" si="3"/>
        <v>0</v>
      </c>
      <c r="Z7" s="262">
        <f t="shared" si="3"/>
        <v>0</v>
      </c>
    </row>
    <row r="8" spans="1:26" ht="12.75" customHeight="1">
      <c r="A8" s="94" t="s">
        <v>19</v>
      </c>
      <c r="B8" s="94" t="s">
        <v>281</v>
      </c>
      <c r="C8" s="261">
        <f>Баланс!C7*Данные!$B$148/12*Расчеты!$B$9</f>
        <v>0</v>
      </c>
      <c r="D8" s="261">
        <f>Баланс!D7*Данные!$B$148/12*Расчеты!$B$9</f>
        <v>0</v>
      </c>
      <c r="E8" s="261">
        <f>Баланс!E7*Данные!$B$148/12*Расчеты!$B$9</f>
        <v>0</v>
      </c>
      <c r="F8" s="261">
        <f>Баланс!F7*Данные!$B$148/12*Расчеты!$B$9</f>
        <v>0</v>
      </c>
      <c r="G8" s="261">
        <f>Баланс!G7*Данные!$B$148/12*Расчеты!$B$9</f>
        <v>0</v>
      </c>
      <c r="H8" s="261">
        <f>Баланс!H7*Данные!$B$148/12*Расчеты!$B$9</f>
        <v>0</v>
      </c>
      <c r="I8" s="261">
        <f>Баланс!I7*Данные!$B$148/12*Расчеты!$B$9</f>
        <v>0</v>
      </c>
      <c r="J8" s="261">
        <f>Баланс!J7*Данные!$B$148/12*Расчеты!$B$9</f>
        <v>0</v>
      </c>
      <c r="K8" s="261">
        <f>Баланс!K7*Данные!$B$148/12*Расчеты!$B$9</f>
        <v>0</v>
      </c>
      <c r="L8" s="261">
        <f>Баланс!L7*Данные!$B$148/12*Расчеты!$B$9</f>
        <v>0</v>
      </c>
      <c r="M8" s="261">
        <f>Баланс!M7*Данные!$B$148/12*Расчеты!$B$9</f>
        <v>0</v>
      </c>
      <c r="N8" s="261">
        <f>Баланс!N7*Данные!$B$148/12*Расчеты!$B$9</f>
        <v>0</v>
      </c>
      <c r="O8" s="261">
        <f>Баланс!O7*Данные!$B$148/12*Расчеты!$B$9</f>
        <v>0</v>
      </c>
      <c r="P8" s="261">
        <f>Баланс!P7*Данные!$B$148/12*Расчеты!$B$9</f>
        <v>0</v>
      </c>
      <c r="Q8" s="261">
        <f>Баланс!Q7*Данные!$B$148/12*Расчеты!$B$9</f>
        <v>0</v>
      </c>
      <c r="R8" s="261">
        <f>Баланс!R7*Данные!$B$148/12*Расчеты!$B$9</f>
        <v>0</v>
      </c>
      <c r="S8" s="261">
        <f>Баланс!S7*Данные!$B$148/12*Расчеты!$B$9</f>
        <v>0</v>
      </c>
      <c r="T8" s="261">
        <f>Баланс!T7*Данные!$B$148/12*Расчеты!$B$9</f>
        <v>0</v>
      </c>
      <c r="U8" s="261">
        <f>Баланс!U7*Данные!$B$148/12*Расчеты!$B$9</f>
        <v>0</v>
      </c>
      <c r="V8" s="261">
        <f>Баланс!V7*Данные!$B$148/12*Расчеты!$B$9</f>
        <v>0</v>
      </c>
      <c r="W8" s="261">
        <f>Баланс!W7*Данные!$B$148/12*Расчеты!$B$9</f>
        <v>0</v>
      </c>
      <c r="X8" s="261">
        <f>Баланс!X7*Данные!$B$148/12*Расчеты!$B$9</f>
        <v>0</v>
      </c>
      <c r="Y8" s="261">
        <f>Баланс!Y7*Данные!$B$148/12*Расчеты!$B$9</f>
        <v>0</v>
      </c>
      <c r="Z8" s="261">
        <f>Баланс!Z7*Данные!$B$148/12*Расчеты!$B$9</f>
        <v>0</v>
      </c>
    </row>
    <row r="9" spans="1:26" s="98" customFormat="1" ht="12.75" customHeight="1">
      <c r="A9" s="96" t="s">
        <v>222</v>
      </c>
      <c r="B9" s="96" t="s">
        <v>282</v>
      </c>
      <c r="C9" s="260">
        <f>SUM(C10:C12)</f>
        <v>150000</v>
      </c>
      <c r="D9" s="260">
        <f t="shared" ref="D9:N9" si="4">SUM(D10:D12)</f>
        <v>150000</v>
      </c>
      <c r="E9" s="260">
        <f t="shared" si="4"/>
        <v>150000</v>
      </c>
      <c r="F9" s="260">
        <f t="shared" si="4"/>
        <v>150000</v>
      </c>
      <c r="G9" s="260">
        <f t="shared" si="4"/>
        <v>150000</v>
      </c>
      <c r="H9" s="260">
        <f t="shared" si="4"/>
        <v>150000</v>
      </c>
      <c r="I9" s="260">
        <f t="shared" si="4"/>
        <v>0</v>
      </c>
      <c r="J9" s="260">
        <f t="shared" si="4"/>
        <v>0</v>
      </c>
      <c r="K9" s="260">
        <f t="shared" si="4"/>
        <v>0</v>
      </c>
      <c r="L9" s="260">
        <f t="shared" si="4"/>
        <v>0</v>
      </c>
      <c r="M9" s="260">
        <f t="shared" si="4"/>
        <v>0</v>
      </c>
      <c r="N9" s="260">
        <f t="shared" si="4"/>
        <v>0</v>
      </c>
      <c r="O9" s="260">
        <f t="shared" ref="O9:Z9" si="5">SUM(O10:O12)</f>
        <v>0</v>
      </c>
      <c r="P9" s="260">
        <f t="shared" si="5"/>
        <v>0</v>
      </c>
      <c r="Q9" s="260">
        <f t="shared" si="5"/>
        <v>0</v>
      </c>
      <c r="R9" s="260">
        <f t="shared" si="5"/>
        <v>0</v>
      </c>
      <c r="S9" s="260">
        <f t="shared" si="5"/>
        <v>0</v>
      </c>
      <c r="T9" s="260">
        <f t="shared" si="5"/>
        <v>0</v>
      </c>
      <c r="U9" s="260">
        <f t="shared" si="5"/>
        <v>0</v>
      </c>
      <c r="V9" s="260">
        <f t="shared" si="5"/>
        <v>0</v>
      </c>
      <c r="W9" s="260">
        <f t="shared" si="5"/>
        <v>0</v>
      </c>
      <c r="X9" s="260">
        <f t="shared" si="5"/>
        <v>0</v>
      </c>
      <c r="Y9" s="260">
        <f t="shared" si="5"/>
        <v>0</v>
      </c>
      <c r="Z9" s="260">
        <f t="shared" si="5"/>
        <v>0</v>
      </c>
    </row>
    <row r="10" spans="1:26" ht="12.75" customHeight="1">
      <c r="A10" s="94" t="s">
        <v>252</v>
      </c>
      <c r="B10" s="94" t="s">
        <v>283</v>
      </c>
      <c r="C10" s="261">
        <f>Данные!C136</f>
        <v>150000</v>
      </c>
      <c r="D10" s="261">
        <f>Данные!D136</f>
        <v>150000</v>
      </c>
      <c r="E10" s="261">
        <f>Данные!E136</f>
        <v>150000</v>
      </c>
      <c r="F10" s="261">
        <f>Данные!F136</f>
        <v>150000</v>
      </c>
      <c r="G10" s="261">
        <f>Данные!G136</f>
        <v>150000</v>
      </c>
      <c r="H10" s="261">
        <f>Данные!H136</f>
        <v>150000</v>
      </c>
      <c r="I10" s="261">
        <f>Данные!I136</f>
        <v>0</v>
      </c>
      <c r="J10" s="261">
        <f>Данные!J136</f>
        <v>0</v>
      </c>
      <c r="K10" s="261">
        <f>Данные!K136</f>
        <v>0</v>
      </c>
      <c r="L10" s="261">
        <f>Данные!L136</f>
        <v>0</v>
      </c>
      <c r="M10" s="261">
        <f>Данные!M136</f>
        <v>0</v>
      </c>
      <c r="N10" s="261">
        <f>Данные!N136</f>
        <v>0</v>
      </c>
      <c r="O10" s="261">
        <f>Данные!O136</f>
        <v>0</v>
      </c>
      <c r="P10" s="261">
        <f>Данные!P136</f>
        <v>0</v>
      </c>
      <c r="Q10" s="261">
        <f>Данные!Q136</f>
        <v>0</v>
      </c>
      <c r="R10" s="261">
        <f>Данные!R136</f>
        <v>0</v>
      </c>
      <c r="S10" s="261">
        <f>Данные!S136</f>
        <v>0</v>
      </c>
      <c r="T10" s="261">
        <f>Данные!T136</f>
        <v>0</v>
      </c>
      <c r="U10" s="261">
        <f>Данные!U136</f>
        <v>0</v>
      </c>
      <c r="V10" s="261">
        <f>Данные!V136</f>
        <v>0</v>
      </c>
      <c r="W10" s="261">
        <f>Данные!W136</f>
        <v>0</v>
      </c>
      <c r="X10" s="261">
        <f>Данные!X136</f>
        <v>0</v>
      </c>
      <c r="Y10" s="261">
        <f>Данные!Y136</f>
        <v>0</v>
      </c>
      <c r="Z10" s="261">
        <f>Данные!Z136</f>
        <v>0</v>
      </c>
    </row>
    <row r="11" spans="1:26" ht="12.75" customHeight="1">
      <c r="A11" s="94" t="s">
        <v>84</v>
      </c>
      <c r="B11" s="94" t="s">
        <v>336</v>
      </c>
      <c r="C11" s="261">
        <f>Данные!C137*C2</f>
        <v>0</v>
      </c>
      <c r="D11" s="261">
        <f>Данные!D137*D2</f>
        <v>0</v>
      </c>
      <c r="E11" s="261">
        <f>Данные!E137*E2</f>
        <v>0</v>
      </c>
      <c r="F11" s="261">
        <f>Данные!F137*F2</f>
        <v>0</v>
      </c>
      <c r="G11" s="261">
        <f>Данные!G137*G2</f>
        <v>0</v>
      </c>
      <c r="H11" s="261">
        <f>Данные!H137*H2</f>
        <v>0</v>
      </c>
      <c r="I11" s="261">
        <f>Данные!I137*I2</f>
        <v>0</v>
      </c>
      <c r="J11" s="261">
        <f>Данные!J137*J2</f>
        <v>0</v>
      </c>
      <c r="K11" s="261">
        <f>Данные!K137*K2</f>
        <v>0</v>
      </c>
      <c r="L11" s="261">
        <f>Данные!L137*L2</f>
        <v>0</v>
      </c>
      <c r="M11" s="261">
        <f>Данные!M137*M2</f>
        <v>0</v>
      </c>
      <c r="N11" s="261">
        <f>Данные!N137*N2</f>
        <v>0</v>
      </c>
      <c r="O11" s="261">
        <f>Данные!O137*O2</f>
        <v>0</v>
      </c>
      <c r="P11" s="261">
        <f>Данные!P137*P2</f>
        <v>0</v>
      </c>
      <c r="Q11" s="261">
        <f>Данные!Q137*Q2</f>
        <v>0</v>
      </c>
      <c r="R11" s="261">
        <f>Данные!R137*R2</f>
        <v>0</v>
      </c>
      <c r="S11" s="261">
        <f>Данные!S137*S2</f>
        <v>0</v>
      </c>
      <c r="T11" s="261">
        <f>Данные!T137*T2</f>
        <v>0</v>
      </c>
      <c r="U11" s="261">
        <f>Данные!U137*U2</f>
        <v>0</v>
      </c>
      <c r="V11" s="261">
        <f>Данные!V137*V2</f>
        <v>0</v>
      </c>
      <c r="W11" s="261">
        <f>Данные!W137*W2</f>
        <v>0</v>
      </c>
      <c r="X11" s="261">
        <f>Данные!X137*X2</f>
        <v>0</v>
      </c>
      <c r="Y11" s="261">
        <f>Данные!Y137*Y2</f>
        <v>0</v>
      </c>
      <c r="Z11" s="261">
        <f>Данные!Z137*Z2</f>
        <v>0</v>
      </c>
    </row>
    <row r="12" spans="1:26" ht="12.75" customHeight="1">
      <c r="A12" s="94" t="s">
        <v>243</v>
      </c>
      <c r="B12" s="94" t="s">
        <v>294</v>
      </c>
      <c r="C12" s="261">
        <f>Данные!$B$150*(C10+C11)</f>
        <v>0</v>
      </c>
      <c r="D12" s="261">
        <f>Данные!$B$150*(D10+D11)</f>
        <v>0</v>
      </c>
      <c r="E12" s="261">
        <f>Данные!$B$150*(E10+E11)</f>
        <v>0</v>
      </c>
      <c r="F12" s="261">
        <f>Данные!$B$150*(F10+F11)</f>
        <v>0</v>
      </c>
      <c r="G12" s="261">
        <f>Данные!$B$150*(G10+G11)</f>
        <v>0</v>
      </c>
      <c r="H12" s="261">
        <f>Данные!$B$150*(H10+H11)</f>
        <v>0</v>
      </c>
      <c r="I12" s="261">
        <f>Данные!$B$150*(I10+I11)</f>
        <v>0</v>
      </c>
      <c r="J12" s="261">
        <f>Данные!$B$150*(J10+J11)</f>
        <v>0</v>
      </c>
      <c r="K12" s="261">
        <f>Данные!$B$150*(K10+K11)</f>
        <v>0</v>
      </c>
      <c r="L12" s="261">
        <f>Данные!$B$150*(L10+L11)</f>
        <v>0</v>
      </c>
      <c r="M12" s="261">
        <f>Данные!$B$150*(M10+M11)</f>
        <v>0</v>
      </c>
      <c r="N12" s="261">
        <f>Данные!$B$150*(N10+N11)</f>
        <v>0</v>
      </c>
      <c r="O12" s="261">
        <f>Данные!$B$150*(O10+O11)</f>
        <v>0</v>
      </c>
      <c r="P12" s="261">
        <f>Данные!$B$150*(P10+P11)</f>
        <v>0</v>
      </c>
      <c r="Q12" s="261">
        <f>Данные!$B$150*(Q10+Q11)</f>
        <v>0</v>
      </c>
      <c r="R12" s="261">
        <f>Данные!$B$150*(R10+R11)</f>
        <v>0</v>
      </c>
      <c r="S12" s="261">
        <f>Данные!$B$150*(S10+S11)</f>
        <v>0</v>
      </c>
      <c r="T12" s="261">
        <f>Данные!$B$150*(T10+T11)</f>
        <v>0</v>
      </c>
      <c r="U12" s="261">
        <f>Данные!$B$150*(U10+U11)</f>
        <v>0</v>
      </c>
      <c r="V12" s="261">
        <f>Данные!$B$150*(V10+V11)</f>
        <v>0</v>
      </c>
      <c r="W12" s="261">
        <f>Данные!$B$150*(W10+W11)</f>
        <v>0</v>
      </c>
      <c r="X12" s="261">
        <f>Данные!$B$150*(X10+X11)</f>
        <v>0</v>
      </c>
      <c r="Y12" s="261">
        <f>Данные!$B$150*(Y10+Y11)</f>
        <v>0</v>
      </c>
      <c r="Z12" s="261">
        <f>Данные!$B$150*(Z10+Z11)</f>
        <v>0</v>
      </c>
    </row>
    <row r="13" spans="1:26" s="98" customFormat="1" ht="12.75" customHeight="1">
      <c r="A13" s="96" t="s">
        <v>339</v>
      </c>
      <c r="B13" s="96" t="s">
        <v>340</v>
      </c>
      <c r="C13" s="260">
        <f t="shared" ref="C13:Z13" si="6">SUM(C14:C17)</f>
        <v>0</v>
      </c>
      <c r="D13" s="260">
        <f t="shared" si="6"/>
        <v>0</v>
      </c>
      <c r="E13" s="260">
        <f t="shared" si="6"/>
        <v>30000</v>
      </c>
      <c r="F13" s="260">
        <f t="shared" si="6"/>
        <v>106000</v>
      </c>
      <c r="G13" s="260">
        <f t="shared" si="6"/>
        <v>164000</v>
      </c>
      <c r="H13" s="260">
        <f t="shared" si="6"/>
        <v>174000</v>
      </c>
      <c r="I13" s="260">
        <f t="shared" si="6"/>
        <v>0</v>
      </c>
      <c r="J13" s="260">
        <f t="shared" si="6"/>
        <v>0</v>
      </c>
      <c r="K13" s="260">
        <f t="shared" si="6"/>
        <v>0</v>
      </c>
      <c r="L13" s="260">
        <f t="shared" si="6"/>
        <v>0</v>
      </c>
      <c r="M13" s="260">
        <f t="shared" si="6"/>
        <v>0</v>
      </c>
      <c r="N13" s="260">
        <f t="shared" si="6"/>
        <v>0</v>
      </c>
      <c r="O13" s="260">
        <f t="shared" si="6"/>
        <v>200000</v>
      </c>
      <c r="P13" s="260">
        <f t="shared" si="6"/>
        <v>200000</v>
      </c>
      <c r="Q13" s="260">
        <f t="shared" si="6"/>
        <v>200000</v>
      </c>
      <c r="R13" s="260">
        <f t="shared" si="6"/>
        <v>200000</v>
      </c>
      <c r="S13" s="260">
        <f t="shared" si="6"/>
        <v>200000</v>
      </c>
      <c r="T13" s="260">
        <f t="shared" si="6"/>
        <v>200000</v>
      </c>
      <c r="U13" s="260">
        <f t="shared" si="6"/>
        <v>200000</v>
      </c>
      <c r="V13" s="260">
        <f t="shared" si="6"/>
        <v>200000</v>
      </c>
      <c r="W13" s="260">
        <f t="shared" si="6"/>
        <v>200000</v>
      </c>
      <c r="X13" s="260">
        <f t="shared" si="6"/>
        <v>200000</v>
      </c>
      <c r="Y13" s="260">
        <f t="shared" si="6"/>
        <v>200000</v>
      </c>
      <c r="Z13" s="260">
        <f t="shared" si="6"/>
        <v>200000</v>
      </c>
    </row>
    <row r="14" spans="1:26" ht="12.75" customHeight="1">
      <c r="A14" s="140" t="s">
        <v>341</v>
      </c>
      <c r="B14" s="95" t="s">
        <v>345</v>
      </c>
      <c r="C14" s="261">
        <f>Данные!C138/(1+VAT)</f>
        <v>0</v>
      </c>
      <c r="D14" s="261">
        <f>Данные!D138/(1+VAT)</f>
        <v>0</v>
      </c>
      <c r="E14" s="261">
        <f>Данные!E138/(1+VAT)</f>
        <v>0</v>
      </c>
      <c r="F14" s="261">
        <f>Данные!F138/(1+VAT)</f>
        <v>0</v>
      </c>
      <c r="G14" s="261">
        <f>Данные!G138/(1+VAT)</f>
        <v>0</v>
      </c>
      <c r="H14" s="261">
        <f>Данные!H138/(1+VAT)</f>
        <v>0</v>
      </c>
      <c r="I14" s="261">
        <f>Данные!I138/(1+VAT)</f>
        <v>0</v>
      </c>
      <c r="J14" s="261">
        <f>Данные!J138/(1+VAT)</f>
        <v>0</v>
      </c>
      <c r="K14" s="261">
        <f>Данные!K138/(1+VAT)</f>
        <v>0</v>
      </c>
      <c r="L14" s="261">
        <f>Данные!L138/(1+VAT)</f>
        <v>0</v>
      </c>
      <c r="M14" s="261">
        <f>Данные!M138/(1+VAT)</f>
        <v>0</v>
      </c>
      <c r="N14" s="261">
        <f>Данные!N138/(1+VAT)</f>
        <v>0</v>
      </c>
      <c r="O14" s="261">
        <f>Данные!O138/(1+VAT)</f>
        <v>0</v>
      </c>
      <c r="P14" s="261">
        <f>Данные!P138/(1+VAT)</f>
        <v>0</v>
      </c>
      <c r="Q14" s="261">
        <f>Данные!Q138/(1+VAT)</f>
        <v>0</v>
      </c>
      <c r="R14" s="261">
        <f>Данные!R138/(1+VAT)</f>
        <v>0</v>
      </c>
      <c r="S14" s="261">
        <f>Данные!S138/(1+VAT)</f>
        <v>0</v>
      </c>
      <c r="T14" s="261">
        <f>Данные!T138/(1+VAT)</f>
        <v>0</v>
      </c>
      <c r="U14" s="261">
        <f>Данные!U138/(1+VAT)</f>
        <v>0</v>
      </c>
      <c r="V14" s="261">
        <f>Данные!V138/(1+VAT)</f>
        <v>0</v>
      </c>
      <c r="W14" s="261">
        <f>Данные!W138/(1+VAT)</f>
        <v>0</v>
      </c>
      <c r="X14" s="261">
        <f>Данные!X138/(1+VAT)</f>
        <v>0</v>
      </c>
      <c r="Y14" s="261">
        <f>Данные!Y138/(1+VAT)</f>
        <v>0</v>
      </c>
      <c r="Z14" s="261">
        <f>Данные!Z138/(1+VAT)</f>
        <v>0</v>
      </c>
    </row>
    <row r="15" spans="1:26" ht="12.75" customHeight="1">
      <c r="A15" s="140" t="s">
        <v>342</v>
      </c>
      <c r="B15" s="95" t="s">
        <v>346</v>
      </c>
      <c r="C15" s="261">
        <f>Данные!C139/(1+VAT)</f>
        <v>0</v>
      </c>
      <c r="D15" s="261">
        <f>Данные!D139/(1+VAT)</f>
        <v>0</v>
      </c>
      <c r="E15" s="261">
        <f>Данные!E139/(1+VAT)</f>
        <v>0</v>
      </c>
      <c r="F15" s="261">
        <f>Данные!F139/(1+VAT)</f>
        <v>0</v>
      </c>
      <c r="G15" s="261">
        <f>Данные!G139/(1+VAT)</f>
        <v>0</v>
      </c>
      <c r="H15" s="261">
        <f>Данные!H139/(1+VAT)</f>
        <v>0</v>
      </c>
      <c r="I15" s="261">
        <f>Данные!I139/(1+VAT)</f>
        <v>0</v>
      </c>
      <c r="J15" s="261">
        <f>Данные!J139/(1+VAT)</f>
        <v>0</v>
      </c>
      <c r="K15" s="261">
        <f>Данные!K139/(1+VAT)</f>
        <v>0</v>
      </c>
      <c r="L15" s="261">
        <f>Данные!L139/(1+VAT)</f>
        <v>0</v>
      </c>
      <c r="M15" s="261">
        <f>Данные!M139/(1+VAT)</f>
        <v>0</v>
      </c>
      <c r="N15" s="261">
        <f>Данные!N139/(1+VAT)</f>
        <v>0</v>
      </c>
      <c r="O15" s="261">
        <f>Данные!O139/(1+VAT)</f>
        <v>200000</v>
      </c>
      <c r="P15" s="261">
        <f>Данные!P139/(1+VAT)</f>
        <v>200000</v>
      </c>
      <c r="Q15" s="261">
        <f>Данные!Q139/(1+VAT)</f>
        <v>200000</v>
      </c>
      <c r="R15" s="261">
        <f>Данные!R139/(1+VAT)</f>
        <v>200000</v>
      </c>
      <c r="S15" s="261">
        <f>Данные!S139/(1+VAT)</f>
        <v>200000</v>
      </c>
      <c r="T15" s="261">
        <f>Данные!T139/(1+VAT)</f>
        <v>200000</v>
      </c>
      <c r="U15" s="261">
        <f>Данные!U139/(1+VAT)</f>
        <v>200000</v>
      </c>
      <c r="V15" s="261">
        <f>Данные!V139/(1+VAT)</f>
        <v>200000</v>
      </c>
      <c r="W15" s="261">
        <f>Данные!W139/(1+VAT)</f>
        <v>200000</v>
      </c>
      <c r="X15" s="261">
        <f>Данные!X139/(1+VAT)</f>
        <v>200000</v>
      </c>
      <c r="Y15" s="261">
        <f>Данные!Y139/(1+VAT)</f>
        <v>200000</v>
      </c>
      <c r="Z15" s="261">
        <f>Данные!Z139/(1+VAT)</f>
        <v>200000</v>
      </c>
    </row>
    <row r="16" spans="1:26" ht="12.75" customHeight="1">
      <c r="A16" s="140" t="s">
        <v>343</v>
      </c>
      <c r="B16" s="95" t="s">
        <v>347</v>
      </c>
      <c r="C16" s="261">
        <f>Данные!C140/(1+VAT)</f>
        <v>0</v>
      </c>
      <c r="D16" s="261">
        <f>Данные!D140/(1+VAT)</f>
        <v>0</v>
      </c>
      <c r="E16" s="261">
        <f>Данные!E140/(1+VAT)</f>
        <v>30000</v>
      </c>
      <c r="F16" s="261">
        <f>Данные!F140/(1+VAT)</f>
        <v>100000</v>
      </c>
      <c r="G16" s="261">
        <f>Данные!G140/(1+VAT)</f>
        <v>150000</v>
      </c>
      <c r="H16" s="261">
        <f>Данные!H140/(1+VAT)</f>
        <v>150000</v>
      </c>
      <c r="I16" s="261">
        <f>Данные!I140/(1+VAT)</f>
        <v>0</v>
      </c>
      <c r="J16" s="261">
        <f>Данные!J140/(1+VAT)</f>
        <v>0</v>
      </c>
      <c r="K16" s="261">
        <f>Данные!K140/(1+VAT)</f>
        <v>0</v>
      </c>
      <c r="L16" s="261">
        <f>Данные!L140/(1+VAT)</f>
        <v>0</v>
      </c>
      <c r="M16" s="261">
        <f>Данные!M140/(1+VAT)</f>
        <v>0</v>
      </c>
      <c r="N16" s="261">
        <f>Данные!N140/(1+VAT)</f>
        <v>0</v>
      </c>
      <c r="O16" s="261">
        <f>Данные!O140/(1+VAT)</f>
        <v>0</v>
      </c>
      <c r="P16" s="261">
        <f>Данные!P140/(1+VAT)</f>
        <v>0</v>
      </c>
      <c r="Q16" s="261">
        <f>Данные!Q140/(1+VAT)</f>
        <v>0</v>
      </c>
      <c r="R16" s="261">
        <f>Данные!R140/(1+VAT)</f>
        <v>0</v>
      </c>
      <c r="S16" s="261">
        <f>Данные!S140/(1+VAT)</f>
        <v>0</v>
      </c>
      <c r="T16" s="261">
        <f>Данные!T140/(1+VAT)</f>
        <v>0</v>
      </c>
      <c r="U16" s="261">
        <f>Данные!U140/(1+VAT)</f>
        <v>0</v>
      </c>
      <c r="V16" s="261">
        <f>Данные!V140/(1+VAT)</f>
        <v>0</v>
      </c>
      <c r="W16" s="261">
        <f>Данные!W140/(1+VAT)</f>
        <v>0</v>
      </c>
      <c r="X16" s="261">
        <f>Данные!X140/(1+VAT)</f>
        <v>0</v>
      </c>
      <c r="Y16" s="261">
        <f>Данные!Y140/(1+VAT)</f>
        <v>0</v>
      </c>
      <c r="Z16" s="261">
        <f>Данные!Z140/(1+VAT)</f>
        <v>0</v>
      </c>
    </row>
    <row r="17" spans="1:26" ht="12.75" customHeight="1">
      <c r="A17" s="140" t="s">
        <v>344</v>
      </c>
      <c r="B17" s="95" t="s">
        <v>348</v>
      </c>
      <c r="C17" s="261">
        <f>Данные!C141/(1+VAT)</f>
        <v>0</v>
      </c>
      <c r="D17" s="261">
        <f>Данные!D141/(1+VAT)</f>
        <v>0</v>
      </c>
      <c r="E17" s="261">
        <f>Данные!E141/(1+VAT)</f>
        <v>0</v>
      </c>
      <c r="F17" s="261">
        <f>Данные!F141/(1+VAT)</f>
        <v>6000</v>
      </c>
      <c r="G17" s="261">
        <f>Данные!G141/(1+VAT)</f>
        <v>14000</v>
      </c>
      <c r="H17" s="261">
        <f>Данные!H141/(1+VAT)</f>
        <v>24000</v>
      </c>
      <c r="I17" s="261">
        <f>Данные!I141/(1+VAT)</f>
        <v>0</v>
      </c>
      <c r="J17" s="261">
        <f>Данные!J141/(1+VAT)</f>
        <v>0</v>
      </c>
      <c r="K17" s="261">
        <f>Данные!K141/(1+VAT)</f>
        <v>0</v>
      </c>
      <c r="L17" s="261">
        <f>Данные!L141/(1+VAT)</f>
        <v>0</v>
      </c>
      <c r="M17" s="261">
        <f>Данные!M141/(1+VAT)</f>
        <v>0</v>
      </c>
      <c r="N17" s="261">
        <f>Данные!N141/(1+VAT)</f>
        <v>0</v>
      </c>
      <c r="O17" s="261">
        <f>Данные!O141/(1+VAT)</f>
        <v>0</v>
      </c>
      <c r="P17" s="261">
        <f>Данные!P141/(1+VAT)</f>
        <v>0</v>
      </c>
      <c r="Q17" s="261">
        <f>Данные!Q141/(1+VAT)</f>
        <v>0</v>
      </c>
      <c r="R17" s="261">
        <f>Данные!R141/(1+VAT)</f>
        <v>0</v>
      </c>
      <c r="S17" s="261">
        <f>Данные!S141/(1+VAT)</f>
        <v>0</v>
      </c>
      <c r="T17" s="261">
        <f>Данные!T141/(1+VAT)</f>
        <v>0</v>
      </c>
      <c r="U17" s="261">
        <f>Данные!U141/(1+VAT)</f>
        <v>0</v>
      </c>
      <c r="V17" s="261">
        <f>Данные!V141/(1+VAT)</f>
        <v>0</v>
      </c>
      <c r="W17" s="261">
        <f>Данные!W141/(1+VAT)</f>
        <v>0</v>
      </c>
      <c r="X17" s="261">
        <f>Данные!X141/(1+VAT)</f>
        <v>0</v>
      </c>
      <c r="Y17" s="261">
        <f>Данные!Y141/(1+VAT)</f>
        <v>0</v>
      </c>
      <c r="Z17" s="261">
        <f>Данные!Z141/(1+VAT)</f>
        <v>0</v>
      </c>
    </row>
    <row r="18" spans="1:26" ht="12.75" customHeight="1">
      <c r="A18" s="93" t="s">
        <v>86</v>
      </c>
      <c r="B18" s="93" t="s">
        <v>284</v>
      </c>
      <c r="C18" s="262">
        <f>C7-C8-C9-C13</f>
        <v>-150000</v>
      </c>
      <c r="D18" s="262">
        <f t="shared" ref="D18:N18" si="7">D7-D8-D9-D13</f>
        <v>-150000</v>
      </c>
      <c r="E18" s="262">
        <f t="shared" si="7"/>
        <v>-180000</v>
      </c>
      <c r="F18" s="262">
        <f t="shared" si="7"/>
        <v>44000</v>
      </c>
      <c r="G18" s="262">
        <f t="shared" si="7"/>
        <v>386000</v>
      </c>
      <c r="H18" s="262">
        <f t="shared" si="7"/>
        <v>876000</v>
      </c>
      <c r="I18" s="262">
        <f t="shared" si="7"/>
        <v>0</v>
      </c>
      <c r="J18" s="262">
        <f t="shared" si="7"/>
        <v>0</v>
      </c>
      <c r="K18" s="262">
        <f t="shared" si="7"/>
        <v>0</v>
      </c>
      <c r="L18" s="262">
        <f t="shared" si="7"/>
        <v>0</v>
      </c>
      <c r="M18" s="262">
        <f t="shared" si="7"/>
        <v>0</v>
      </c>
      <c r="N18" s="262">
        <f t="shared" si="7"/>
        <v>0</v>
      </c>
      <c r="O18" s="262">
        <f t="shared" ref="O18:Z18" si="8">O7-O8-O9-O13</f>
        <v>-200000</v>
      </c>
      <c r="P18" s="262">
        <f t="shared" si="8"/>
        <v>-200000</v>
      </c>
      <c r="Q18" s="262">
        <f t="shared" si="8"/>
        <v>-200000</v>
      </c>
      <c r="R18" s="262">
        <f t="shared" si="8"/>
        <v>-200000</v>
      </c>
      <c r="S18" s="262">
        <f t="shared" si="8"/>
        <v>-200000</v>
      </c>
      <c r="T18" s="262">
        <f t="shared" si="8"/>
        <v>-200000</v>
      </c>
      <c r="U18" s="262">
        <f t="shared" si="8"/>
        <v>-200000</v>
      </c>
      <c r="V18" s="262">
        <f t="shared" si="8"/>
        <v>-200000</v>
      </c>
      <c r="W18" s="262">
        <f t="shared" si="8"/>
        <v>-200000</v>
      </c>
      <c r="X18" s="262">
        <f t="shared" si="8"/>
        <v>-200000</v>
      </c>
      <c r="Y18" s="262">
        <f t="shared" si="8"/>
        <v>-200000</v>
      </c>
      <c r="Z18" s="262">
        <f t="shared" si="8"/>
        <v>-200000</v>
      </c>
    </row>
    <row r="19" spans="1:26" ht="12.75" customHeight="1">
      <c r="A19" s="94" t="s">
        <v>87</v>
      </c>
      <c r="B19" s="94" t="s">
        <v>285</v>
      </c>
      <c r="C19" s="261">
        <f t="shared" ref="C19:N19" si="9">SUM(C20:C24)</f>
        <v>214.28571428571428</v>
      </c>
      <c r="D19" s="261">
        <f t="shared" si="9"/>
        <v>214.28571428571428</v>
      </c>
      <c r="E19" s="261">
        <f t="shared" si="9"/>
        <v>214.28571428571428</v>
      </c>
      <c r="F19" s="261">
        <f t="shared" si="9"/>
        <v>214.28571428571428</v>
      </c>
      <c r="G19" s="261">
        <f t="shared" si="9"/>
        <v>214.28571428571428</v>
      </c>
      <c r="H19" s="261">
        <f t="shared" si="9"/>
        <v>214.28571428571428</v>
      </c>
      <c r="I19" s="261">
        <f t="shared" si="9"/>
        <v>214.28571428571428</v>
      </c>
      <c r="J19" s="261">
        <f t="shared" si="9"/>
        <v>214.28571428571428</v>
      </c>
      <c r="K19" s="261">
        <f t="shared" si="9"/>
        <v>214.28571428571428</v>
      </c>
      <c r="L19" s="261">
        <f t="shared" si="9"/>
        <v>214.28571428571428</v>
      </c>
      <c r="M19" s="261">
        <f t="shared" si="9"/>
        <v>214.28571428571428</v>
      </c>
      <c r="N19" s="261">
        <f t="shared" si="9"/>
        <v>214.28571428571428</v>
      </c>
      <c r="O19" s="261">
        <f t="shared" ref="O19:Z19" si="10">SUM(O20:O24)</f>
        <v>214.28571428571428</v>
      </c>
      <c r="P19" s="261">
        <f t="shared" si="10"/>
        <v>214.28571428571428</v>
      </c>
      <c r="Q19" s="261">
        <f t="shared" si="10"/>
        <v>214.28571428571428</v>
      </c>
      <c r="R19" s="261">
        <f t="shared" si="10"/>
        <v>214.28571428571428</v>
      </c>
      <c r="S19" s="261">
        <f t="shared" si="10"/>
        <v>214.28571428571428</v>
      </c>
      <c r="T19" s="261">
        <f t="shared" si="10"/>
        <v>214.28571428571428</v>
      </c>
      <c r="U19" s="261">
        <f t="shared" si="10"/>
        <v>214.28571428571428</v>
      </c>
      <c r="V19" s="261">
        <f t="shared" si="10"/>
        <v>214.28571428571428</v>
      </c>
      <c r="W19" s="261">
        <f t="shared" si="10"/>
        <v>214.28571428571428</v>
      </c>
      <c r="X19" s="261">
        <f t="shared" si="10"/>
        <v>214.28571428571428</v>
      </c>
      <c r="Y19" s="261">
        <f t="shared" si="10"/>
        <v>214.28571428571428</v>
      </c>
      <c r="Z19" s="261">
        <f t="shared" si="10"/>
        <v>214.28571428571428</v>
      </c>
    </row>
    <row r="20" spans="1:26" ht="12.75" customHeight="1">
      <c r="A20" s="94" t="s">
        <v>88</v>
      </c>
      <c r="B20" s="94" t="s">
        <v>286</v>
      </c>
      <c r="C20" s="261">
        <f>MIN(Данные!$B$153/12*Расчеты!B33*Расчеты!$B$9,Расчеты!B33)</f>
        <v>0</v>
      </c>
      <c r="D20" s="261">
        <f>MIN(Данные!$B$153/12*Расчеты!C33*Расчеты!$B$9,Расчеты!C33)</f>
        <v>0</v>
      </c>
      <c r="E20" s="261">
        <f>MIN(Данные!$B$153/12*Расчеты!D33*Расчеты!$B$9,Расчеты!D33)</f>
        <v>0</v>
      </c>
      <c r="F20" s="261">
        <f>MIN(Данные!$B$153/12*Расчеты!E33*Расчеты!$B$9,Расчеты!E33)</f>
        <v>0</v>
      </c>
      <c r="G20" s="261">
        <f>MIN(Данные!$B$153/12*Расчеты!F33*Расчеты!$B$9,Расчеты!F33)</f>
        <v>0</v>
      </c>
      <c r="H20" s="261">
        <f>MIN(Данные!$B$153/12*Расчеты!G33*Расчеты!$B$9,Расчеты!G33)</f>
        <v>0</v>
      </c>
      <c r="I20" s="261">
        <f>MIN(Данные!$B$153/12*Расчеты!H33*Расчеты!$B$9,Расчеты!H33)</f>
        <v>0</v>
      </c>
      <c r="J20" s="261">
        <f>MIN(Данные!$B$153/12*Расчеты!I33*Расчеты!$B$9,Расчеты!I33)</f>
        <v>0</v>
      </c>
      <c r="K20" s="261">
        <f>MIN(Данные!$B$153/12*Расчеты!J33*Расчеты!$B$9,Расчеты!J33)</f>
        <v>0</v>
      </c>
      <c r="L20" s="261">
        <f>MIN(Данные!$B$153/12*Расчеты!K33*Расчеты!$B$9,Расчеты!K33)</f>
        <v>0</v>
      </c>
      <c r="M20" s="261">
        <f>MIN(Данные!$B$153/12*Расчеты!L33*Расчеты!$B$9,Расчеты!L33)</f>
        <v>0</v>
      </c>
      <c r="N20" s="261">
        <f>MIN(Данные!$B$153/12*Расчеты!M33*Расчеты!$B$9,Расчеты!M33)</f>
        <v>0</v>
      </c>
      <c r="O20" s="261">
        <f>MIN(Данные!$B$153/12*Расчеты!N33*Расчеты!$B$9,Расчеты!N33)</f>
        <v>0</v>
      </c>
      <c r="P20" s="261">
        <f>MIN(Данные!$B$153/12*Расчеты!O33*Расчеты!$B$9,Расчеты!O33)</f>
        <v>0</v>
      </c>
      <c r="Q20" s="261">
        <f>MIN(Данные!$B$153/12*Расчеты!P33*Расчеты!$B$9,Расчеты!P33)</f>
        <v>0</v>
      </c>
      <c r="R20" s="261">
        <f>MIN(Данные!$B$153/12*Расчеты!Q33*Расчеты!$B$9,Расчеты!Q33)</f>
        <v>0</v>
      </c>
      <c r="S20" s="261">
        <f>MIN(Данные!$B$153/12*Расчеты!R33*Расчеты!$B$9,Расчеты!R33)</f>
        <v>0</v>
      </c>
      <c r="T20" s="261">
        <f>MIN(Данные!$B$153/12*Расчеты!S33*Расчеты!$B$9,Расчеты!S33)</f>
        <v>0</v>
      </c>
      <c r="U20" s="261">
        <f>MIN(Данные!$B$153/12*Расчеты!T33*Расчеты!$B$9,Расчеты!T33)</f>
        <v>0</v>
      </c>
      <c r="V20" s="261">
        <f>MIN(Данные!$B$153/12*Расчеты!U33*Расчеты!$B$9,Расчеты!U33)</f>
        <v>0</v>
      </c>
      <c r="W20" s="261">
        <f>MIN(Данные!$B$153/12*Расчеты!V33*Расчеты!$B$9,Расчеты!V33)</f>
        <v>0</v>
      </c>
      <c r="X20" s="261">
        <f>MIN(Данные!$B$153/12*Расчеты!W33*Расчеты!$B$9,Расчеты!W33)</f>
        <v>0</v>
      </c>
      <c r="Y20" s="261">
        <f>MIN(Данные!$B$153/12*Расчеты!X33*Расчеты!$B$9,Расчеты!X33)</f>
        <v>0</v>
      </c>
      <c r="Z20" s="261">
        <f>MIN(Данные!$B$153/12*Расчеты!Y33*Расчеты!$B$9,Расчеты!Y33)</f>
        <v>0</v>
      </c>
    </row>
    <row r="21" spans="1:26" ht="12.75" customHeight="1">
      <c r="A21" s="94" t="s">
        <v>32</v>
      </c>
      <c r="B21" s="94" t="s">
        <v>287</v>
      </c>
      <c r="C21" s="261">
        <f>MIN(Данные!$B$154/12*Расчеты!B34*Расчеты!$B$9,Расчеты!B34)</f>
        <v>0</v>
      </c>
      <c r="D21" s="261">
        <f>MIN(Данные!$B$154/12*Расчеты!C34*Расчеты!$B$9,Расчеты!C34-Расчеты!B40)</f>
        <v>0</v>
      </c>
      <c r="E21" s="261">
        <f>MIN(Данные!$B$154/12*Расчеты!D34*Расчеты!$B$9,Расчеты!D34-Расчеты!C40)</f>
        <v>0</v>
      </c>
      <c r="F21" s="261">
        <f>MIN(Данные!$B$154/12*Расчеты!E34*Расчеты!$B$9,Расчеты!E34-Расчеты!D40)</f>
        <v>0</v>
      </c>
      <c r="G21" s="261">
        <f>MIN(Данные!$B$154/12*Расчеты!F34*Расчеты!$B$9,Расчеты!F34-Расчеты!E40)</f>
        <v>0</v>
      </c>
      <c r="H21" s="261">
        <f>MIN(Данные!$B$154/12*Расчеты!G34*Расчеты!$B$9,Расчеты!G34-Расчеты!F40)</f>
        <v>0</v>
      </c>
      <c r="I21" s="261">
        <f>MIN(Данные!$B$154/12*Расчеты!H34*Расчеты!$B$9,Расчеты!H34-Расчеты!G40)</f>
        <v>0</v>
      </c>
      <c r="J21" s="261">
        <f>MIN(Данные!$B$154/12*Расчеты!I34*Расчеты!$B$9,Расчеты!I34-Расчеты!H40)</f>
        <v>0</v>
      </c>
      <c r="K21" s="261">
        <f>MIN(Данные!$B$154/12*Расчеты!J34*Расчеты!$B$9,Расчеты!J34-Расчеты!I40)</f>
        <v>0</v>
      </c>
      <c r="L21" s="261">
        <f>MIN(Данные!$B$154/12*Расчеты!K34*Расчеты!$B$9,Расчеты!K34-Расчеты!J40)</f>
        <v>0</v>
      </c>
      <c r="M21" s="261">
        <f>MIN(Данные!$B$154/12*Расчеты!L34*Расчеты!$B$9,Расчеты!L34-Расчеты!K40)</f>
        <v>0</v>
      </c>
      <c r="N21" s="261">
        <f>MIN(Данные!$B$154/12*Расчеты!M34*Расчеты!$B$9,Расчеты!M34-Расчеты!L40)</f>
        <v>0</v>
      </c>
      <c r="O21" s="261">
        <f>MIN(Данные!$B$154/12*Расчеты!N34*Расчеты!$B$9,Расчеты!N34-Расчеты!M40)</f>
        <v>0</v>
      </c>
      <c r="P21" s="261">
        <f>MIN(Данные!$B$154/12*Расчеты!O34*Расчеты!$B$9,Расчеты!O34-Расчеты!N40)</f>
        <v>0</v>
      </c>
      <c r="Q21" s="261">
        <f>MIN(Данные!$B$154/12*Расчеты!P34*Расчеты!$B$9,Расчеты!P34-Расчеты!O40)</f>
        <v>0</v>
      </c>
      <c r="R21" s="261">
        <f>MIN(Данные!$B$154/12*Расчеты!Q34*Расчеты!$B$9,Расчеты!Q34-Расчеты!P40)</f>
        <v>0</v>
      </c>
      <c r="S21" s="261">
        <f>MIN(Данные!$B$154/12*Расчеты!R34*Расчеты!$B$9,Расчеты!R34-Расчеты!Q40)</f>
        <v>0</v>
      </c>
      <c r="T21" s="261">
        <f>MIN(Данные!$B$154/12*Расчеты!S34*Расчеты!$B$9,Расчеты!S34-Расчеты!R40)</f>
        <v>0</v>
      </c>
      <c r="U21" s="261">
        <f>MIN(Данные!$B$154/12*Расчеты!T34*Расчеты!$B$9,Расчеты!T34-Расчеты!S40)</f>
        <v>0</v>
      </c>
      <c r="V21" s="261">
        <f>MIN(Данные!$B$154/12*Расчеты!U34*Расчеты!$B$9,Расчеты!U34-Расчеты!T40)</f>
        <v>0</v>
      </c>
      <c r="W21" s="261">
        <f>MIN(Данные!$B$154/12*Расчеты!V34*Расчеты!$B$9,Расчеты!V34-Расчеты!U40)</f>
        <v>0</v>
      </c>
      <c r="X21" s="261">
        <f>MIN(Данные!$B$154/12*Расчеты!W34*Расчеты!$B$9,Расчеты!W34-Расчеты!V40)</f>
        <v>0</v>
      </c>
      <c r="Y21" s="261">
        <f>MIN(Данные!$B$154/12*Расчеты!X34*Расчеты!$B$9,Расчеты!X34-Расчеты!W40)</f>
        <v>0</v>
      </c>
      <c r="Z21" s="261">
        <f>MIN(Данные!$B$154/12*Расчеты!Y34*Расчеты!$B$9,Расчеты!Y34-Расчеты!X40)</f>
        <v>0</v>
      </c>
    </row>
    <row r="22" spans="1:26" ht="12.75" customHeight="1">
      <c r="A22" s="94" t="s">
        <v>33</v>
      </c>
      <c r="B22" s="94" t="s">
        <v>288</v>
      </c>
      <c r="C22" s="261">
        <f>MIN(Данные!$B$155/12*Расчеты!B35*Расчеты!$B$9,Расчеты!B35)</f>
        <v>0</v>
      </c>
      <c r="D22" s="261">
        <f>MIN(Данные!$B$155/12*Расчеты!C35*Расчеты!$B$9,Расчеты!C35-Расчеты!B41)</f>
        <v>0</v>
      </c>
      <c r="E22" s="261">
        <f>MIN(Данные!$B$155/12*Расчеты!D35*Расчеты!$B$9,Расчеты!D35-Расчеты!C41)</f>
        <v>0</v>
      </c>
      <c r="F22" s="261">
        <f>MIN(Данные!$B$155/12*Расчеты!E35*Расчеты!$B$9,Расчеты!E35-Расчеты!D41)</f>
        <v>0</v>
      </c>
      <c r="G22" s="261">
        <f>MIN(Данные!$B$155/12*Расчеты!F35*Расчеты!$B$9,Расчеты!F35-Расчеты!E41)</f>
        <v>0</v>
      </c>
      <c r="H22" s="261">
        <f>MIN(Данные!$B$155/12*Расчеты!G35*Расчеты!$B$9,Расчеты!G35-Расчеты!F41)</f>
        <v>0</v>
      </c>
      <c r="I22" s="261">
        <f>MIN(Данные!$B$155/12*Расчеты!H35*Расчеты!$B$9,Расчеты!H35-Расчеты!G41)</f>
        <v>0</v>
      </c>
      <c r="J22" s="261">
        <f>MIN(Данные!$B$155/12*Расчеты!I35*Расчеты!$B$9,Расчеты!I35-Расчеты!H41)</f>
        <v>0</v>
      </c>
      <c r="K22" s="261">
        <f>MIN(Данные!$B$155/12*Расчеты!J35*Расчеты!$B$9,Расчеты!J35-Расчеты!I41)</f>
        <v>0</v>
      </c>
      <c r="L22" s="261">
        <f>MIN(Данные!$B$155/12*Расчеты!K35*Расчеты!$B$9,Расчеты!K35-Расчеты!J41)</f>
        <v>0</v>
      </c>
      <c r="M22" s="261">
        <f>MIN(Данные!$B$155/12*Расчеты!L35*Расчеты!$B$9,Расчеты!L35-Расчеты!K41)</f>
        <v>0</v>
      </c>
      <c r="N22" s="261">
        <f>MIN(Данные!$B$155/12*Расчеты!M35*Расчеты!$B$9,Расчеты!M35-Расчеты!L41)</f>
        <v>0</v>
      </c>
      <c r="O22" s="261">
        <f>MIN(Данные!$B$155/12*Расчеты!N35*Расчеты!$B$9,Расчеты!N35-Расчеты!M41)</f>
        <v>0</v>
      </c>
      <c r="P22" s="261">
        <f>MIN(Данные!$B$155/12*Расчеты!O35*Расчеты!$B$9,Расчеты!O35-Расчеты!N41)</f>
        <v>0</v>
      </c>
      <c r="Q22" s="261">
        <f>MIN(Данные!$B$155/12*Расчеты!P35*Расчеты!$B$9,Расчеты!P35-Расчеты!O41)</f>
        <v>0</v>
      </c>
      <c r="R22" s="261">
        <f>MIN(Данные!$B$155/12*Расчеты!Q35*Расчеты!$B$9,Расчеты!Q35-Расчеты!P41)</f>
        <v>0</v>
      </c>
      <c r="S22" s="261">
        <f>MIN(Данные!$B$155/12*Расчеты!R35*Расчеты!$B$9,Расчеты!R35-Расчеты!Q41)</f>
        <v>0</v>
      </c>
      <c r="T22" s="261">
        <f>MIN(Данные!$B$155/12*Расчеты!S35*Расчеты!$B$9,Расчеты!S35-Расчеты!R41)</f>
        <v>0</v>
      </c>
      <c r="U22" s="261">
        <f>MIN(Данные!$B$155/12*Расчеты!T35*Расчеты!$B$9,Расчеты!T35-Расчеты!S41)</f>
        <v>0</v>
      </c>
      <c r="V22" s="261">
        <f>MIN(Данные!$B$155/12*Расчеты!U35*Расчеты!$B$9,Расчеты!U35-Расчеты!T41)</f>
        <v>0</v>
      </c>
      <c r="W22" s="261">
        <f>MIN(Данные!$B$155/12*Расчеты!V35*Расчеты!$B$9,Расчеты!V35-Расчеты!U41)</f>
        <v>0</v>
      </c>
      <c r="X22" s="261">
        <f>MIN(Данные!$B$155/12*Расчеты!W35*Расчеты!$B$9,Расчеты!W35-Расчеты!V41)</f>
        <v>0</v>
      </c>
      <c r="Y22" s="261">
        <f>MIN(Данные!$B$155/12*Расчеты!X35*Расчеты!$B$9,Расчеты!X35-Расчеты!W41)</f>
        <v>0</v>
      </c>
      <c r="Z22" s="261">
        <f>MIN(Данные!$B$155/12*Расчеты!Y35*Расчеты!$B$9,Расчеты!Y35-Расчеты!X41)</f>
        <v>0</v>
      </c>
    </row>
    <row r="23" spans="1:26" ht="12.75" customHeight="1">
      <c r="A23" s="94" t="s">
        <v>34</v>
      </c>
      <c r="B23" s="94" t="s">
        <v>295</v>
      </c>
      <c r="C23" s="261">
        <f>MIN(Данные!$B$156/12*Расчеты!B36*Расчеты!$B$9,Расчеты!B36)</f>
        <v>95.238095238095241</v>
      </c>
      <c r="D23" s="261">
        <f>MIN(Данные!$B$156/12*Расчеты!C36*Расчеты!$B$9,Расчеты!C36-Расчеты!B42)</f>
        <v>95.238095238095241</v>
      </c>
      <c r="E23" s="261">
        <f>MIN(Данные!$B$156/12*Расчеты!D36*Расчеты!$B$9,Расчеты!D36-Расчеты!C42)</f>
        <v>95.238095238095241</v>
      </c>
      <c r="F23" s="261">
        <f>MIN(Данные!$B$156/12*Расчеты!E36*Расчеты!$B$9,Расчеты!E36-Расчеты!D42)</f>
        <v>95.238095238095241</v>
      </c>
      <c r="G23" s="261">
        <f>MIN(Данные!$B$156/12*Расчеты!F36*Расчеты!$B$9,Расчеты!F36-Расчеты!E42)</f>
        <v>95.238095238095241</v>
      </c>
      <c r="H23" s="261">
        <f>MIN(Данные!$B$156/12*Расчеты!G36*Расчеты!$B$9,Расчеты!G36-Расчеты!F42)</f>
        <v>95.238095238095241</v>
      </c>
      <c r="I23" s="261">
        <f>MIN(Данные!$B$156/12*Расчеты!H36*Расчеты!$B$9,Расчеты!H36-Расчеты!G42)</f>
        <v>95.238095238095241</v>
      </c>
      <c r="J23" s="261">
        <f>MIN(Данные!$B$156/12*Расчеты!I36*Расчеты!$B$9,Расчеты!I36-Расчеты!H42)</f>
        <v>95.238095238095241</v>
      </c>
      <c r="K23" s="261">
        <f>MIN(Данные!$B$156/12*Расчеты!J36*Расчеты!$B$9,Расчеты!J36-Расчеты!I42)</f>
        <v>95.238095238095241</v>
      </c>
      <c r="L23" s="261">
        <f>MIN(Данные!$B$156/12*Расчеты!K36*Расчеты!$B$9,Расчеты!K36-Расчеты!J42)</f>
        <v>95.238095238095241</v>
      </c>
      <c r="M23" s="261">
        <f>MIN(Данные!$B$156/12*Расчеты!L36*Расчеты!$B$9,Расчеты!L36-Расчеты!K42)</f>
        <v>95.238095238095241</v>
      </c>
      <c r="N23" s="261">
        <f>MIN(Данные!$B$156/12*Расчеты!M36*Расчеты!$B$9,Расчеты!M36-Расчеты!L42)</f>
        <v>95.238095238095241</v>
      </c>
      <c r="O23" s="261">
        <f>MIN(Данные!$B$156/12*Расчеты!N36*Расчеты!$B$9,Расчеты!N36-Расчеты!M42)</f>
        <v>95.238095238095241</v>
      </c>
      <c r="P23" s="261">
        <f>MIN(Данные!$B$156/12*Расчеты!O36*Расчеты!$B$9,Расчеты!O36-Расчеты!N42)</f>
        <v>95.238095238095241</v>
      </c>
      <c r="Q23" s="261">
        <f>MIN(Данные!$B$156/12*Расчеты!P36*Расчеты!$B$9,Расчеты!P36-Расчеты!O42)</f>
        <v>95.238095238095241</v>
      </c>
      <c r="R23" s="261">
        <f>MIN(Данные!$B$156/12*Расчеты!Q36*Расчеты!$B$9,Расчеты!Q36-Расчеты!P42)</f>
        <v>95.238095238095241</v>
      </c>
      <c r="S23" s="261">
        <f>MIN(Данные!$B$156/12*Расчеты!R36*Расчеты!$B$9,Расчеты!R36-Расчеты!Q42)</f>
        <v>95.238095238095241</v>
      </c>
      <c r="T23" s="261">
        <f>MIN(Данные!$B$156/12*Расчеты!S36*Расчеты!$B$9,Расчеты!S36-Расчеты!R42)</f>
        <v>95.238095238095241</v>
      </c>
      <c r="U23" s="261">
        <f>MIN(Данные!$B$156/12*Расчеты!T36*Расчеты!$B$9,Расчеты!T36-Расчеты!S42)</f>
        <v>95.238095238095241</v>
      </c>
      <c r="V23" s="261">
        <f>MIN(Данные!$B$156/12*Расчеты!U36*Расчеты!$B$9,Расчеты!U36-Расчеты!T42)</f>
        <v>95.238095238095241</v>
      </c>
      <c r="W23" s="261">
        <f>MIN(Данные!$B$156/12*Расчеты!V36*Расчеты!$B$9,Расчеты!V36-Расчеты!U42)</f>
        <v>95.238095238095241</v>
      </c>
      <c r="X23" s="261">
        <f>MIN(Данные!$B$156/12*Расчеты!W36*Расчеты!$B$9,Расчеты!W36-Расчеты!V42)</f>
        <v>95.238095238095241</v>
      </c>
      <c r="Y23" s="261">
        <f>MIN(Данные!$B$156/12*Расчеты!X36*Расчеты!$B$9,Расчеты!X36-Расчеты!W42)</f>
        <v>95.238095238095241</v>
      </c>
      <c r="Z23" s="261">
        <f>MIN(Данные!$B$156/12*Расчеты!Y36*Расчеты!$B$9,Расчеты!Y36-Расчеты!X42)</f>
        <v>95.238095238095241</v>
      </c>
    </row>
    <row r="24" spans="1:26" ht="12.75" customHeight="1">
      <c r="A24" s="94" t="s">
        <v>35</v>
      </c>
      <c r="B24" s="94" t="s">
        <v>289</v>
      </c>
      <c r="C24" s="261">
        <f>MIN(Данные!$B$157/12*Расчеты!B37*Расчеты!$B$9,Расчеты!B37)</f>
        <v>119.04761904761905</v>
      </c>
      <c r="D24" s="261">
        <f>MIN(Данные!$B$157/12*Расчеты!C37*Расчеты!$B$9,Расчеты!C37-Расчеты!B43)</f>
        <v>119.04761904761905</v>
      </c>
      <c r="E24" s="261">
        <f>MIN(Данные!$B$157/12*Расчеты!D37*Расчеты!$B$9,Расчеты!D37-Расчеты!C43)</f>
        <v>119.04761904761905</v>
      </c>
      <c r="F24" s="261">
        <f>MIN(Данные!$B$157/12*Расчеты!E37*Расчеты!$B$9,Расчеты!E37-Расчеты!D43)</f>
        <v>119.04761904761905</v>
      </c>
      <c r="G24" s="261">
        <f>MIN(Данные!$B$157/12*Расчеты!F37*Расчеты!$B$9,Расчеты!F37-Расчеты!E43)</f>
        <v>119.04761904761905</v>
      </c>
      <c r="H24" s="261">
        <f>MIN(Данные!$B$157/12*Расчеты!G37*Расчеты!$B$9,Расчеты!G37-Расчеты!F43)</f>
        <v>119.04761904761905</v>
      </c>
      <c r="I24" s="261">
        <f>MIN(Данные!$B$157/12*Расчеты!H37*Расчеты!$B$9,Расчеты!H37-Расчеты!G43)</f>
        <v>119.04761904761905</v>
      </c>
      <c r="J24" s="261">
        <f>MIN(Данные!$B$157/12*Расчеты!I37*Расчеты!$B$9,Расчеты!I37-Расчеты!H43)</f>
        <v>119.04761904761905</v>
      </c>
      <c r="K24" s="261">
        <f>MIN(Данные!$B$157/12*Расчеты!J37*Расчеты!$B$9,Расчеты!J37-Расчеты!I43)</f>
        <v>119.04761904761905</v>
      </c>
      <c r="L24" s="261">
        <f>MIN(Данные!$B$157/12*Расчеты!K37*Расчеты!$B$9,Расчеты!K37-Расчеты!J43)</f>
        <v>119.04761904761905</v>
      </c>
      <c r="M24" s="261">
        <f>MIN(Данные!$B$157/12*Расчеты!L37*Расчеты!$B$9,Расчеты!L37-Расчеты!K43)</f>
        <v>119.04761904761905</v>
      </c>
      <c r="N24" s="261">
        <f>MIN(Данные!$B$157/12*Расчеты!M37*Расчеты!$B$9,Расчеты!M37-Расчеты!L43)</f>
        <v>119.04761904761905</v>
      </c>
      <c r="O24" s="261">
        <f>MIN(Данные!$B$157/12*Расчеты!N37*Расчеты!$B$9,Расчеты!N37-Расчеты!M43)</f>
        <v>119.04761904761905</v>
      </c>
      <c r="P24" s="261">
        <f>MIN(Данные!$B$157/12*Расчеты!O37*Расчеты!$B$9,Расчеты!O37-Расчеты!N43)</f>
        <v>119.04761904761905</v>
      </c>
      <c r="Q24" s="261">
        <f>MIN(Данные!$B$157/12*Расчеты!P37*Расчеты!$B$9,Расчеты!P37-Расчеты!O43)</f>
        <v>119.04761904761905</v>
      </c>
      <c r="R24" s="261">
        <f>MIN(Данные!$B$157/12*Расчеты!Q37*Расчеты!$B$9,Расчеты!Q37-Расчеты!P43)</f>
        <v>119.04761904761905</v>
      </c>
      <c r="S24" s="261">
        <f>MIN(Данные!$B$157/12*Расчеты!R37*Расчеты!$B$9,Расчеты!R37-Расчеты!Q43)</f>
        <v>119.04761904761905</v>
      </c>
      <c r="T24" s="261">
        <f>MIN(Данные!$B$157/12*Расчеты!S37*Расчеты!$B$9,Расчеты!S37-Расчеты!R43)</f>
        <v>119.04761904761905</v>
      </c>
      <c r="U24" s="261">
        <f>MIN(Данные!$B$157/12*Расчеты!T37*Расчеты!$B$9,Расчеты!T37-Расчеты!S43)</f>
        <v>119.04761904761905</v>
      </c>
      <c r="V24" s="261">
        <f>MIN(Данные!$B$157/12*Расчеты!U37*Расчеты!$B$9,Расчеты!U37-Расчеты!T43)</f>
        <v>119.04761904761905</v>
      </c>
      <c r="W24" s="261">
        <f>MIN(Данные!$B$157/12*Расчеты!V37*Расчеты!$B$9,Расчеты!V37-Расчеты!U43)</f>
        <v>119.04761904761905</v>
      </c>
      <c r="X24" s="261">
        <f>MIN(Данные!$B$157/12*Расчеты!W37*Расчеты!$B$9,Расчеты!W37-Расчеты!V43)</f>
        <v>119.04761904761905</v>
      </c>
      <c r="Y24" s="261">
        <f>MIN(Данные!$B$157/12*Расчеты!X37*Расчеты!$B$9,Расчеты!X37-Расчеты!W43)</f>
        <v>119.04761904761905</v>
      </c>
      <c r="Z24" s="261">
        <f>MIN(Данные!$B$157/12*Расчеты!Y37*Расчеты!$B$9,Расчеты!Y37-Расчеты!X43)</f>
        <v>119.04761904761905</v>
      </c>
    </row>
    <row r="25" spans="1:26" ht="12.75" customHeight="1">
      <c r="A25" s="94" t="s">
        <v>244</v>
      </c>
      <c r="B25" s="94" t="s">
        <v>296</v>
      </c>
      <c r="C25" s="261">
        <f>Данные!C244</f>
        <v>0</v>
      </c>
      <c r="D25" s="261">
        <f>Данные!D244</f>
        <v>0</v>
      </c>
      <c r="E25" s="261">
        <f>Данные!E244</f>
        <v>0</v>
      </c>
      <c r="F25" s="261">
        <f>Данные!F244</f>
        <v>0</v>
      </c>
      <c r="G25" s="261">
        <f>Данные!G244</f>
        <v>0</v>
      </c>
      <c r="H25" s="261">
        <f>Данные!H244</f>
        <v>0</v>
      </c>
      <c r="I25" s="261">
        <f>Данные!I244</f>
        <v>0</v>
      </c>
      <c r="J25" s="261">
        <f>Данные!J244</f>
        <v>0</v>
      </c>
      <c r="K25" s="261">
        <f>Данные!K244</f>
        <v>0</v>
      </c>
      <c r="L25" s="261">
        <f>Данные!L244</f>
        <v>0</v>
      </c>
      <c r="M25" s="261">
        <f>Данные!M244</f>
        <v>0</v>
      </c>
      <c r="N25" s="261">
        <f>Данные!N244</f>
        <v>0</v>
      </c>
      <c r="O25" s="261">
        <f>Данные!O244</f>
        <v>0</v>
      </c>
      <c r="P25" s="261">
        <f>Данные!P244</f>
        <v>0</v>
      </c>
      <c r="Q25" s="261">
        <f>Данные!Q244</f>
        <v>0</v>
      </c>
      <c r="R25" s="261">
        <f>Данные!R244</f>
        <v>0</v>
      </c>
      <c r="S25" s="261">
        <f>Данные!S244</f>
        <v>0</v>
      </c>
      <c r="T25" s="261">
        <f>Данные!T244</f>
        <v>0</v>
      </c>
      <c r="U25" s="261">
        <f>Данные!U244</f>
        <v>0</v>
      </c>
      <c r="V25" s="261">
        <f>Данные!V244</f>
        <v>0</v>
      </c>
      <c r="W25" s="261">
        <f>Данные!W244</f>
        <v>0</v>
      </c>
      <c r="X25" s="261">
        <f>Данные!X244</f>
        <v>0</v>
      </c>
      <c r="Y25" s="261">
        <f>Данные!Y244</f>
        <v>0</v>
      </c>
      <c r="Z25" s="261">
        <f>Данные!Z244</f>
        <v>0</v>
      </c>
    </row>
    <row r="26" spans="1:26" ht="12.75" customHeight="1">
      <c r="A26" s="93" t="s">
        <v>90</v>
      </c>
      <c r="B26" s="93" t="s">
        <v>290</v>
      </c>
      <c r="C26" s="263">
        <f t="shared" ref="C26:N26" si="11">C18-C19-C25</f>
        <v>-150214.28571428571</v>
      </c>
      <c r="D26" s="263">
        <f t="shared" si="11"/>
        <v>-150214.28571428571</v>
      </c>
      <c r="E26" s="263">
        <f t="shared" si="11"/>
        <v>-180214.28571428571</v>
      </c>
      <c r="F26" s="263">
        <f t="shared" si="11"/>
        <v>43785.714285714283</v>
      </c>
      <c r="G26" s="263">
        <f t="shared" si="11"/>
        <v>385785.71428571426</v>
      </c>
      <c r="H26" s="263">
        <f t="shared" si="11"/>
        <v>875785.71428571432</v>
      </c>
      <c r="I26" s="263">
        <f t="shared" si="11"/>
        <v>-214.28571428571428</v>
      </c>
      <c r="J26" s="263">
        <f t="shared" si="11"/>
        <v>-214.28571428571428</v>
      </c>
      <c r="K26" s="263">
        <f t="shared" si="11"/>
        <v>-214.28571428571428</v>
      </c>
      <c r="L26" s="263">
        <f t="shared" si="11"/>
        <v>-214.28571428571428</v>
      </c>
      <c r="M26" s="263">
        <f t="shared" si="11"/>
        <v>-214.28571428571428</v>
      </c>
      <c r="N26" s="263">
        <f t="shared" si="11"/>
        <v>-214.28571428571428</v>
      </c>
      <c r="O26" s="263">
        <f t="shared" ref="O26:Z26" si="12">O18-O19-O25</f>
        <v>-200214.28571428571</v>
      </c>
      <c r="P26" s="263">
        <f t="shared" si="12"/>
        <v>-200214.28571428571</v>
      </c>
      <c r="Q26" s="263">
        <f t="shared" si="12"/>
        <v>-200214.28571428571</v>
      </c>
      <c r="R26" s="263">
        <f t="shared" si="12"/>
        <v>-200214.28571428571</v>
      </c>
      <c r="S26" s="263">
        <f t="shared" si="12"/>
        <v>-200214.28571428571</v>
      </c>
      <c r="T26" s="263">
        <f t="shared" si="12"/>
        <v>-200214.28571428571</v>
      </c>
      <c r="U26" s="263">
        <f t="shared" si="12"/>
        <v>-200214.28571428571</v>
      </c>
      <c r="V26" s="263">
        <f t="shared" si="12"/>
        <v>-200214.28571428571</v>
      </c>
      <c r="W26" s="263">
        <f t="shared" si="12"/>
        <v>-200214.28571428571</v>
      </c>
      <c r="X26" s="263">
        <f t="shared" si="12"/>
        <v>-200214.28571428571</v>
      </c>
      <c r="Y26" s="263">
        <f t="shared" si="12"/>
        <v>-200214.28571428571</v>
      </c>
      <c r="Z26" s="263">
        <f t="shared" si="12"/>
        <v>-200214.28571428571</v>
      </c>
    </row>
    <row r="27" spans="1:26" ht="12.75" customHeight="1">
      <c r="A27" s="94" t="s">
        <v>18</v>
      </c>
      <c r="B27" s="94" t="s">
        <v>291</v>
      </c>
      <c r="C27" s="261">
        <f>IF(C26&gt;0,C26*Данные!$B$146,0)</f>
        <v>0</v>
      </c>
      <c r="D27" s="261">
        <f>IF(D26&gt;0,D26*Данные!$B$146,0)</f>
        <v>0</v>
      </c>
      <c r="E27" s="261">
        <f>IF(E26&gt;0,E26*Данные!$B$146,0)</f>
        <v>0</v>
      </c>
      <c r="F27" s="261">
        <f>IF(F26&gt;0,F26*Данные!$B$146,0)</f>
        <v>0</v>
      </c>
      <c r="G27" s="261">
        <f>IF(G26&gt;0,G26*Данные!$B$146,0)</f>
        <v>0</v>
      </c>
      <c r="H27" s="261">
        <f>IF(H26&gt;0,H26*Данные!$B$146,0)</f>
        <v>0</v>
      </c>
      <c r="I27" s="261">
        <f>IF(I26&gt;0,I26*Данные!$B$146,0)</f>
        <v>0</v>
      </c>
      <c r="J27" s="261">
        <f>IF(J26&gt;0,J26*Данные!$B$146,0)</f>
        <v>0</v>
      </c>
      <c r="K27" s="261">
        <f>IF(K26&gt;0,K26*Данные!$B$146,0)</f>
        <v>0</v>
      </c>
      <c r="L27" s="261">
        <f>IF(L26&gt;0,L26*Данные!$B$146,0)</f>
        <v>0</v>
      </c>
      <c r="M27" s="261">
        <f>IF(M26&gt;0,M26*Данные!$B$146,0)</f>
        <v>0</v>
      </c>
      <c r="N27" s="261">
        <f>IF(N26&gt;0,N26*Данные!$B$146,0)</f>
        <v>0</v>
      </c>
      <c r="O27" s="261">
        <f>IF(O26&gt;0,O26*Данные!$B$146,0)</f>
        <v>0</v>
      </c>
      <c r="P27" s="261">
        <f>IF(P26&gt;0,P26*Данные!$B$146,0)</f>
        <v>0</v>
      </c>
      <c r="Q27" s="261">
        <f>IF(Q26&gt;0,Q26*Данные!$B$146,0)</f>
        <v>0</v>
      </c>
      <c r="R27" s="261">
        <f>IF(R26&gt;0,R26*Данные!$B$146,0)</f>
        <v>0</v>
      </c>
      <c r="S27" s="261">
        <f>IF(S26&gt;0,S26*Данные!$B$146,0)</f>
        <v>0</v>
      </c>
      <c r="T27" s="261">
        <f>IF(T26&gt;0,T26*Данные!$B$146,0)</f>
        <v>0</v>
      </c>
      <c r="U27" s="261">
        <f>IF(U26&gt;0,U26*Данные!$B$146,0)</f>
        <v>0</v>
      </c>
      <c r="V27" s="261">
        <f>IF(V26&gt;0,V26*Данные!$B$146,0)</f>
        <v>0</v>
      </c>
      <c r="W27" s="261">
        <f>IF(W26&gt;0,W26*Данные!$B$146,0)</f>
        <v>0</v>
      </c>
      <c r="X27" s="261">
        <f>IF(X26&gt;0,X26*Данные!$B$146,0)</f>
        <v>0</v>
      </c>
      <c r="Y27" s="261">
        <f>IF(Y26&gt;0,Y26*Данные!$B$146,0)</f>
        <v>0</v>
      </c>
      <c r="Z27" s="261">
        <f>IF(Z26&gt;0,Z26*Данные!$B$146,0)</f>
        <v>0</v>
      </c>
    </row>
    <row r="28" spans="1:26" ht="12.75" customHeight="1" thickBot="1">
      <c r="A28" s="97" t="s">
        <v>91</v>
      </c>
      <c r="B28" s="97" t="s">
        <v>292</v>
      </c>
      <c r="C28" s="264">
        <f t="shared" ref="C28:N28" si="13">C26-C27</f>
        <v>-150214.28571428571</v>
      </c>
      <c r="D28" s="264">
        <f t="shared" si="13"/>
        <v>-150214.28571428571</v>
      </c>
      <c r="E28" s="264">
        <f t="shared" si="13"/>
        <v>-180214.28571428571</v>
      </c>
      <c r="F28" s="264">
        <f t="shared" si="13"/>
        <v>43785.714285714283</v>
      </c>
      <c r="G28" s="264">
        <f t="shared" si="13"/>
        <v>385785.71428571426</v>
      </c>
      <c r="H28" s="264">
        <f t="shared" si="13"/>
        <v>875785.71428571432</v>
      </c>
      <c r="I28" s="264">
        <f t="shared" si="13"/>
        <v>-214.28571428571428</v>
      </c>
      <c r="J28" s="264">
        <f t="shared" si="13"/>
        <v>-214.28571428571428</v>
      </c>
      <c r="K28" s="264">
        <f t="shared" si="13"/>
        <v>-214.28571428571428</v>
      </c>
      <c r="L28" s="264">
        <f t="shared" si="13"/>
        <v>-214.28571428571428</v>
      </c>
      <c r="M28" s="264">
        <f t="shared" si="13"/>
        <v>-214.28571428571428</v>
      </c>
      <c r="N28" s="264">
        <f t="shared" si="13"/>
        <v>-214.28571428571428</v>
      </c>
      <c r="O28" s="264">
        <f t="shared" ref="O28:Z28" si="14">O26-O27</f>
        <v>-200214.28571428571</v>
      </c>
      <c r="P28" s="264">
        <f t="shared" si="14"/>
        <v>-200214.28571428571</v>
      </c>
      <c r="Q28" s="264">
        <f t="shared" si="14"/>
        <v>-200214.28571428571</v>
      </c>
      <c r="R28" s="264">
        <f t="shared" si="14"/>
        <v>-200214.28571428571</v>
      </c>
      <c r="S28" s="264">
        <f t="shared" si="14"/>
        <v>-200214.28571428571</v>
      </c>
      <c r="T28" s="264">
        <f t="shared" si="14"/>
        <v>-200214.28571428571</v>
      </c>
      <c r="U28" s="264">
        <f t="shared" si="14"/>
        <v>-200214.28571428571</v>
      </c>
      <c r="V28" s="264">
        <f t="shared" si="14"/>
        <v>-200214.28571428571</v>
      </c>
      <c r="W28" s="264">
        <f t="shared" si="14"/>
        <v>-200214.28571428571</v>
      </c>
      <c r="X28" s="264">
        <f t="shared" si="14"/>
        <v>-200214.28571428571</v>
      </c>
      <c r="Y28" s="264">
        <f t="shared" si="14"/>
        <v>-200214.28571428571</v>
      </c>
      <c r="Z28" s="264">
        <f t="shared" si="14"/>
        <v>-200214.28571428571</v>
      </c>
    </row>
    <row r="29" spans="1:26" ht="12.95" customHeight="1">
      <c r="A29" s="98"/>
      <c r="B29" s="98"/>
      <c r="C29" s="99"/>
      <c r="D29" s="99"/>
      <c r="E29" s="99"/>
      <c r="F29" s="99"/>
      <c r="G29" s="99"/>
      <c r="H29" s="99"/>
      <c r="I29" s="99"/>
      <c r="J29" s="99"/>
      <c r="K29" s="99"/>
      <c r="L29" s="99"/>
      <c r="M29" s="99"/>
      <c r="N29" s="99"/>
      <c r="O29" s="88"/>
    </row>
  </sheetData>
  <sheetProtection sheet="1" objects="1" scenarios="1"/>
  <dataConsolidate/>
  <pageMargins left="0.98425196850393704" right="0.98425196850393704" top="0.98425196850393704" bottom="0.98425196850393704" header="0.51181102362204722" footer="0.51181102362204722"/>
  <pageSetup paperSize="9" orientation="landscape" r:id="rId1"/>
  <headerFooter alignWithMargins="0">
    <oddHeader>&amp;LМастерская бизнес-планирования (tm)&amp;R&amp;"Arial Cyr,курсив\Инвестиционный анализ</oddHeader>
    <oddFooter>&amp;L&amp;D &amp;T&amp;C&amp;F&amp;RСтр. &amp;P из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Z26"/>
  <sheetViews>
    <sheetView zoomScaleNormal="75" workbookViewId="0">
      <selection activeCell="C7" sqref="C7"/>
    </sheetView>
  </sheetViews>
  <sheetFormatPr defaultColWidth="9.140625" defaultRowHeight="12.95" customHeight="1"/>
  <cols>
    <col min="1" max="1" width="36.7109375" style="76" customWidth="1"/>
    <col min="2" max="2" width="36.7109375" style="76" hidden="1" customWidth="1"/>
    <col min="3" max="8" width="10.7109375" style="76" customWidth="1"/>
    <col min="9" max="26" width="10.7109375" style="76" hidden="1" customWidth="1"/>
    <col min="27" max="16384" width="9.140625" style="76"/>
  </cols>
  <sheetData>
    <row r="1" spans="1:26" s="79" customFormat="1" ht="25.5" customHeight="1" thickBot="1">
      <c r="A1" s="77" t="s">
        <v>92</v>
      </c>
      <c r="B1" s="287" t="s">
        <v>317</v>
      </c>
      <c r="C1" s="78" t="str">
        <f>Данные!C40</f>
        <v>1/2027</v>
      </c>
      <c r="D1" s="78" t="str">
        <f>Данные!D40</f>
        <v>2/2027</v>
      </c>
      <c r="E1" s="78" t="str">
        <f>Данные!E40</f>
        <v>3/2027</v>
      </c>
      <c r="F1" s="78" t="str">
        <f>Данные!F40</f>
        <v>4/2027</v>
      </c>
      <c r="G1" s="78" t="str">
        <f>Данные!G40</f>
        <v>5/2027</v>
      </c>
      <c r="H1" s="78" t="str">
        <f>Данные!H40</f>
        <v>6/2027</v>
      </c>
      <c r="I1" s="78" t="str">
        <f>Данные!I40</f>
        <v>7/2027</v>
      </c>
      <c r="J1" s="78" t="str">
        <f>Данные!J40</f>
        <v>8/2027</v>
      </c>
      <c r="K1" s="78" t="str">
        <f>Данные!K40</f>
        <v>9/2027</v>
      </c>
      <c r="L1" s="78" t="str">
        <f>Данные!L40</f>
        <v>10/2027</v>
      </c>
      <c r="M1" s="78" t="str">
        <f>Данные!M40</f>
        <v>11/2027</v>
      </c>
      <c r="N1" s="78" t="str">
        <f>Данные!N40</f>
        <v>12/2027</v>
      </c>
      <c r="O1" s="78" t="str">
        <f>Данные!O40</f>
        <v>1/2028</v>
      </c>
      <c r="P1" s="78" t="str">
        <f>Данные!P40</f>
        <v>2/2028</v>
      </c>
      <c r="Q1" s="78" t="str">
        <f>Данные!Q40</f>
        <v>3/2028</v>
      </c>
      <c r="R1" s="78" t="str">
        <f>Данные!R40</f>
        <v>4/2028</v>
      </c>
      <c r="S1" s="78" t="str">
        <f>Данные!S40</f>
        <v>5/2028</v>
      </c>
      <c r="T1" s="78" t="str">
        <f>Данные!T40</f>
        <v>6/2028</v>
      </c>
      <c r="U1" s="78" t="str">
        <f>Данные!U40</f>
        <v>7/2028</v>
      </c>
      <c r="V1" s="78" t="str">
        <f>Данные!V40</f>
        <v>8/2028</v>
      </c>
      <c r="W1" s="78" t="str">
        <f>Данные!W40</f>
        <v>9/2028</v>
      </c>
      <c r="X1" s="78" t="str">
        <f>Данные!X40</f>
        <v>10/2028</v>
      </c>
      <c r="Y1" s="78" t="str">
        <f>Данные!Y40</f>
        <v>11/2028</v>
      </c>
      <c r="Z1" s="78" t="str">
        <f>Данные!Z40</f>
        <v>12/2028</v>
      </c>
    </row>
    <row r="2" spans="1:26" ht="12.75" customHeight="1">
      <c r="A2" s="80" t="s">
        <v>43</v>
      </c>
      <c r="B2" s="288" t="s">
        <v>297</v>
      </c>
      <c r="C2" s="265">
        <f>'Кэш-фло'!C23</f>
        <v>-350000</v>
      </c>
      <c r="D2" s="265">
        <f>'Кэш-фло'!D23</f>
        <v>-690000</v>
      </c>
      <c r="E2" s="265">
        <f>'Кэш-фло'!E23</f>
        <v>-1030000</v>
      </c>
      <c r="F2" s="265">
        <f>'Кэш-фло'!F23</f>
        <v>-986000</v>
      </c>
      <c r="G2" s="265">
        <f>'Кэш-фло'!G23</f>
        <v>-600000</v>
      </c>
      <c r="H2" s="265">
        <f>'Кэш-фло'!H23</f>
        <v>276000</v>
      </c>
      <c r="I2" s="265">
        <f>'Кэш-фло'!I23</f>
        <v>276000</v>
      </c>
      <c r="J2" s="265">
        <f>'Кэш-фло'!J23</f>
        <v>276000</v>
      </c>
      <c r="K2" s="265">
        <f>'Кэш-фло'!K23</f>
        <v>276000</v>
      </c>
      <c r="L2" s="265">
        <f>'Кэш-фло'!L23</f>
        <v>276000</v>
      </c>
      <c r="M2" s="265">
        <f>'Кэш-фло'!M23</f>
        <v>276000</v>
      </c>
      <c r="N2" s="265">
        <f>'Кэш-фло'!N23</f>
        <v>276000</v>
      </c>
      <c r="O2" s="265">
        <f>'Кэш-фло'!O23</f>
        <v>76000</v>
      </c>
      <c r="P2" s="265">
        <f>'Кэш-фло'!P23</f>
        <v>-124000</v>
      </c>
      <c r="Q2" s="265">
        <f>'Кэш-фло'!Q23</f>
        <v>-324000</v>
      </c>
      <c r="R2" s="265">
        <f>'Кэш-фло'!R23</f>
        <v>-524000</v>
      </c>
      <c r="S2" s="265">
        <f>'Кэш-фло'!S23</f>
        <v>-724000</v>
      </c>
      <c r="T2" s="265">
        <f>'Кэш-фло'!T23</f>
        <v>-924000</v>
      </c>
      <c r="U2" s="265">
        <f>'Кэш-фло'!U23</f>
        <v>-1124000</v>
      </c>
      <c r="V2" s="265">
        <f>'Кэш-фло'!V23</f>
        <v>-1324000</v>
      </c>
      <c r="W2" s="265">
        <f>'Кэш-фло'!W23</f>
        <v>-1524000</v>
      </c>
      <c r="X2" s="265">
        <f>'Кэш-фло'!X23</f>
        <v>-1724000</v>
      </c>
      <c r="Y2" s="265">
        <f>'Кэш-фло'!Y23</f>
        <v>-1924000</v>
      </c>
      <c r="Z2" s="265">
        <f>'Кэш-фло'!Z23</f>
        <v>-2124000</v>
      </c>
    </row>
    <row r="3" spans="1:26" ht="12.75" customHeight="1">
      <c r="A3" s="80" t="s">
        <v>42</v>
      </c>
      <c r="B3" s="288" t="s">
        <v>298</v>
      </c>
      <c r="C3" s="265">
        <f>(SUM(Анализ!$B$44:B44)-SUM('Кэш-фло'!$C$3:C3))/(1+VAT)+Данные!$C$175</f>
        <v>0</v>
      </c>
      <c r="D3" s="265">
        <f>(SUM(Анализ!$B$44:C44)-SUM('Кэш-фло'!$C$3:D3))/(1+VAT)+Данные!$C$175</f>
        <v>0</v>
      </c>
      <c r="E3" s="265">
        <f>(SUM(Анализ!$B$44:D44)-SUM('Кэш-фло'!$C$3:E3))/(1+VAT)+Данные!$C$175</f>
        <v>0</v>
      </c>
      <c r="F3" s="265">
        <f>(SUM(Анализ!$B$44:E44)-SUM('Кэш-фло'!$C$3:F3))/(1+VAT)+Данные!$C$175</f>
        <v>0</v>
      </c>
      <c r="G3" s="265">
        <f>(SUM(Анализ!$B$44:F44)-SUM('Кэш-фло'!$C$3:G3))/(1+VAT)+Данные!$C$175</f>
        <v>0</v>
      </c>
      <c r="H3" s="265">
        <f>(SUM(Анализ!$B$44:G44)-SUM('Кэш-фло'!$C$3:H3))/(1+VAT)+Данные!$C$175</f>
        <v>0</v>
      </c>
      <c r="I3" s="265">
        <f>(SUM(Анализ!$B$44:H44)-SUM('Кэш-фло'!$C$3:I3))/(1+VAT)+Данные!$C$175</f>
        <v>0</v>
      </c>
      <c r="J3" s="265">
        <f>(SUM(Анализ!$B$44:I44)-SUM('Кэш-фло'!$C$3:J3))/(1+VAT)+Данные!$C$175</f>
        <v>0</v>
      </c>
      <c r="K3" s="265">
        <f>(SUM(Анализ!$B$44:J44)-SUM('Кэш-фло'!$C$3:K3))/(1+VAT)+Данные!$C$175</f>
        <v>0</v>
      </c>
      <c r="L3" s="265">
        <f>(SUM(Анализ!$B$44:K44)-SUM('Кэш-фло'!$C$3:L3))/(1+VAT)+Данные!$C$175</f>
        <v>0</v>
      </c>
      <c r="M3" s="265">
        <f>(SUM(Анализ!$B$44:L44)-SUM('Кэш-фло'!$C$3:M3))/(1+VAT)+Данные!$C$175</f>
        <v>0</v>
      </c>
      <c r="N3" s="265">
        <f>(SUM(Анализ!$B$44:M44)-SUM('Кэш-фло'!$C$3:N3))/(1+VAT)+Данные!$C$175</f>
        <v>0</v>
      </c>
      <c r="O3" s="265">
        <f>(SUM(Анализ!$B$44:N44)-SUM('Кэш-фло'!$C$3:O3))/(1+VAT)+Данные!$C$175</f>
        <v>0</v>
      </c>
      <c r="P3" s="265">
        <f>(SUM(Анализ!$B$44:O44)-SUM('Кэш-фло'!$C$3:P3))/(1+VAT)+Данные!$C$175</f>
        <v>0</v>
      </c>
      <c r="Q3" s="265">
        <f>(SUM(Анализ!$B$44:P44)-SUM('Кэш-фло'!$C$3:Q3))/(1+VAT)+Данные!$C$175</f>
        <v>0</v>
      </c>
      <c r="R3" s="265">
        <f>(SUM(Анализ!$B$44:Q44)-SUM('Кэш-фло'!$C$3:R3))/(1+VAT)+Данные!$C$175</f>
        <v>0</v>
      </c>
      <c r="S3" s="265">
        <f>(SUM(Анализ!$B$44:R44)-SUM('Кэш-фло'!$C$3:S3))/(1+VAT)+Данные!$C$175</f>
        <v>0</v>
      </c>
      <c r="T3" s="265">
        <f>(SUM(Анализ!$B$44:S44)-SUM('Кэш-фло'!$C$3:T3))/(1+VAT)+Данные!$C$175</f>
        <v>0</v>
      </c>
      <c r="U3" s="265">
        <f>(SUM(Анализ!$B$44:T44)-SUM('Кэш-фло'!$C$3:U3))/(1+VAT)+Данные!$C$175</f>
        <v>0</v>
      </c>
      <c r="V3" s="265">
        <f>(SUM(Анализ!$B$44:U44)-SUM('Кэш-фло'!$C$3:V3))/(1+VAT)+Данные!$C$175</f>
        <v>0</v>
      </c>
      <c r="W3" s="265">
        <f>(SUM(Анализ!$B$44:V44)-SUM('Кэш-фло'!$C$3:W3))/(1+VAT)+Данные!$C$175</f>
        <v>0</v>
      </c>
      <c r="X3" s="265">
        <f>(SUM(Анализ!$B$44:W44)-SUM('Кэш-фло'!$C$3:X3))/(1+VAT)+Данные!$C$175</f>
        <v>0</v>
      </c>
      <c r="Y3" s="265">
        <f>(SUM(Анализ!$B$44:X44)-SUM('Кэш-фло'!$C$3:Y3))/(1+VAT)+Данные!$C$175</f>
        <v>0</v>
      </c>
      <c r="Z3" s="265">
        <f>(SUM(Анализ!$B$44:Y44)-SUM('Кэш-фло'!$C$3:Z3))/(1+VAT)+Данные!$C$175</f>
        <v>0</v>
      </c>
    </row>
    <row r="4" spans="1:26" ht="12.75" customHeight="1">
      <c r="A4" s="80" t="s">
        <v>300</v>
      </c>
      <c r="B4" s="288" t="s">
        <v>299</v>
      </c>
      <c r="C4" s="265">
        <f>(SUM(Расчеты!$B$55:B55)-SUM(Анализ!$B$65:B65))/(1+VAT)</f>
        <v>0</v>
      </c>
      <c r="D4" s="265">
        <f>(SUM(Расчеты!$B$55:C55)-SUM(Анализ!$B$65:C65))/(1+VAT)</f>
        <v>0</v>
      </c>
      <c r="E4" s="265">
        <f>(SUM(Расчеты!$B$55:D55)-SUM(Анализ!$B$65:D65))/(1+VAT)</f>
        <v>0</v>
      </c>
      <c r="F4" s="265">
        <f>(SUM(Расчеты!$B$55:E55)-SUM(Анализ!$B$65:E65))/(1+VAT)</f>
        <v>0</v>
      </c>
      <c r="G4" s="265">
        <f>(SUM(Расчеты!$B$55:F55)-SUM(Анализ!$B$65:F65))/(1+VAT)</f>
        <v>0</v>
      </c>
      <c r="H4" s="265">
        <f>(SUM(Расчеты!$B$55:G55)-SUM(Анализ!$B$65:G65))/(1+VAT)</f>
        <v>0</v>
      </c>
      <c r="I4" s="265">
        <f>(SUM(Расчеты!$B$55:H55)-SUM(Анализ!$B$65:H65))/(1+VAT)</f>
        <v>0</v>
      </c>
      <c r="J4" s="265">
        <f>(SUM(Расчеты!$B$55:I55)-SUM(Анализ!$B$65:I65))/(1+VAT)</f>
        <v>0</v>
      </c>
      <c r="K4" s="265">
        <f>(SUM(Расчеты!$B$55:J55)-SUM(Анализ!$B$65:J65))/(1+VAT)</f>
        <v>0</v>
      </c>
      <c r="L4" s="265">
        <f>(SUM(Расчеты!$B$55:K55)-SUM(Анализ!$B$65:K65))/(1+VAT)</f>
        <v>0</v>
      </c>
      <c r="M4" s="265">
        <f>(SUM(Расчеты!$B$55:L55)-SUM(Анализ!$B$65:L65))/(1+VAT)</f>
        <v>0</v>
      </c>
      <c r="N4" s="265">
        <f>(SUM(Расчеты!$B$55:M55)-SUM(Анализ!$B$65:M65))/(1+VAT)</f>
        <v>0</v>
      </c>
      <c r="O4" s="265">
        <f>(SUM(Расчеты!$B$55:N55)-SUM(Анализ!$B$65:N65))/(1+VAT)</f>
        <v>0</v>
      </c>
      <c r="P4" s="265">
        <f>(SUM(Расчеты!$B$55:O55)-SUM(Анализ!$B$65:O65))/(1+VAT)</f>
        <v>0</v>
      </c>
      <c r="Q4" s="265">
        <f>(SUM(Расчеты!$B$55:P55)-SUM(Анализ!$B$65:P65))/(1+VAT)</f>
        <v>0</v>
      </c>
      <c r="R4" s="265">
        <f>(SUM(Расчеты!$B$55:Q55)-SUM(Анализ!$B$65:Q65))/(1+VAT)</f>
        <v>0</v>
      </c>
      <c r="S4" s="265">
        <f>(SUM(Расчеты!$B$55:R55)-SUM(Анализ!$B$65:R65))/(1+VAT)</f>
        <v>0</v>
      </c>
      <c r="T4" s="265">
        <f>(SUM(Расчеты!$B$55:S55)-SUM(Анализ!$B$65:S65))/(1+VAT)</f>
        <v>0</v>
      </c>
      <c r="U4" s="265">
        <f>(SUM(Расчеты!$B$55:T55)-SUM(Анализ!$B$65:T65))/(1+VAT)</f>
        <v>0</v>
      </c>
      <c r="V4" s="265">
        <f>(SUM(Расчеты!$B$55:U55)-SUM(Анализ!$B$65:U65))/(1+VAT)</f>
        <v>0</v>
      </c>
      <c r="W4" s="265">
        <f>(SUM(Расчеты!$B$55:V55)-SUM(Анализ!$B$65:V65))/(1+VAT)</f>
        <v>0</v>
      </c>
      <c r="X4" s="265">
        <f>(SUM(Расчеты!$B$55:W55)-SUM(Анализ!$B$65:W65))/(1+VAT)</f>
        <v>0</v>
      </c>
      <c r="Y4" s="265">
        <f>(SUM(Расчеты!$B$55:X55)-SUM(Анализ!$B$65:X65))/(1+VAT)</f>
        <v>0</v>
      </c>
      <c r="Z4" s="265">
        <f>(SUM(Расчеты!$B$55:Y55)-SUM(Анализ!$B$65:Y65))/(1+VAT)</f>
        <v>0</v>
      </c>
    </row>
    <row r="5" spans="1:26" ht="12.75" customHeight="1">
      <c r="A5" s="80" t="s">
        <v>44</v>
      </c>
      <c r="B5" s="288" t="s">
        <v>301</v>
      </c>
      <c r="C5" s="265">
        <f>Данные!C177</f>
        <v>0</v>
      </c>
      <c r="D5" s="265">
        <f t="shared" ref="D5:N5" si="0">C5</f>
        <v>0</v>
      </c>
      <c r="E5" s="265">
        <f t="shared" si="0"/>
        <v>0</v>
      </c>
      <c r="F5" s="265">
        <f t="shared" si="0"/>
        <v>0</v>
      </c>
      <c r="G5" s="265">
        <f t="shared" si="0"/>
        <v>0</v>
      </c>
      <c r="H5" s="265">
        <f t="shared" si="0"/>
        <v>0</v>
      </c>
      <c r="I5" s="265">
        <f t="shared" si="0"/>
        <v>0</v>
      </c>
      <c r="J5" s="265">
        <f t="shared" si="0"/>
        <v>0</v>
      </c>
      <c r="K5" s="265">
        <f t="shared" si="0"/>
        <v>0</v>
      </c>
      <c r="L5" s="265">
        <f t="shared" si="0"/>
        <v>0</v>
      </c>
      <c r="M5" s="265">
        <f t="shared" si="0"/>
        <v>0</v>
      </c>
      <c r="N5" s="265">
        <f t="shared" si="0"/>
        <v>0</v>
      </c>
      <c r="O5" s="265">
        <f t="shared" ref="O5:Z5" si="1">N5</f>
        <v>0</v>
      </c>
      <c r="P5" s="265">
        <f t="shared" si="1"/>
        <v>0</v>
      </c>
      <c r="Q5" s="265">
        <f t="shared" si="1"/>
        <v>0</v>
      </c>
      <c r="R5" s="265">
        <f t="shared" si="1"/>
        <v>0</v>
      </c>
      <c r="S5" s="265">
        <f t="shared" si="1"/>
        <v>0</v>
      </c>
      <c r="T5" s="265">
        <f t="shared" si="1"/>
        <v>0</v>
      </c>
      <c r="U5" s="265">
        <f t="shared" si="1"/>
        <v>0</v>
      </c>
      <c r="V5" s="265">
        <f t="shared" si="1"/>
        <v>0</v>
      </c>
      <c r="W5" s="265">
        <f t="shared" si="1"/>
        <v>0</v>
      </c>
      <c r="X5" s="265">
        <f t="shared" si="1"/>
        <v>0</v>
      </c>
      <c r="Y5" s="265">
        <f t="shared" si="1"/>
        <v>0</v>
      </c>
      <c r="Z5" s="265">
        <f t="shared" si="1"/>
        <v>0</v>
      </c>
    </row>
    <row r="6" spans="1:26" ht="12.75" customHeight="1">
      <c r="A6" s="81" t="s">
        <v>102</v>
      </c>
      <c r="B6" s="289" t="s">
        <v>302</v>
      </c>
      <c r="C6" s="266">
        <f t="shared" ref="C6:N6" si="2">SUM(C2:C5)</f>
        <v>-350000</v>
      </c>
      <c r="D6" s="266">
        <f t="shared" si="2"/>
        <v>-690000</v>
      </c>
      <c r="E6" s="266">
        <f t="shared" si="2"/>
        <v>-1030000</v>
      </c>
      <c r="F6" s="266">
        <f t="shared" si="2"/>
        <v>-986000</v>
      </c>
      <c r="G6" s="266">
        <f t="shared" si="2"/>
        <v>-600000</v>
      </c>
      <c r="H6" s="266">
        <f t="shared" si="2"/>
        <v>276000</v>
      </c>
      <c r="I6" s="266">
        <f t="shared" si="2"/>
        <v>276000</v>
      </c>
      <c r="J6" s="266">
        <f t="shared" si="2"/>
        <v>276000</v>
      </c>
      <c r="K6" s="266">
        <f t="shared" si="2"/>
        <v>276000</v>
      </c>
      <c r="L6" s="266">
        <f t="shared" si="2"/>
        <v>276000</v>
      </c>
      <c r="M6" s="266">
        <f t="shared" si="2"/>
        <v>276000</v>
      </c>
      <c r="N6" s="266">
        <f t="shared" si="2"/>
        <v>276000</v>
      </c>
      <c r="O6" s="266">
        <f t="shared" ref="O6:Z6" si="3">SUM(O2:O5)</f>
        <v>76000</v>
      </c>
      <c r="P6" s="266">
        <f t="shared" si="3"/>
        <v>-124000</v>
      </c>
      <c r="Q6" s="266">
        <f t="shared" si="3"/>
        <v>-324000</v>
      </c>
      <c r="R6" s="266">
        <f t="shared" si="3"/>
        <v>-524000</v>
      </c>
      <c r="S6" s="266">
        <f t="shared" si="3"/>
        <v>-724000</v>
      </c>
      <c r="T6" s="266">
        <f t="shared" si="3"/>
        <v>-924000</v>
      </c>
      <c r="U6" s="266">
        <f t="shared" si="3"/>
        <v>-1124000</v>
      </c>
      <c r="V6" s="266">
        <f t="shared" si="3"/>
        <v>-1324000</v>
      </c>
      <c r="W6" s="266">
        <f t="shared" si="3"/>
        <v>-1524000</v>
      </c>
      <c r="X6" s="266">
        <f t="shared" si="3"/>
        <v>-1724000</v>
      </c>
      <c r="Y6" s="266">
        <f t="shared" si="3"/>
        <v>-1924000</v>
      </c>
      <c r="Z6" s="266">
        <f t="shared" si="3"/>
        <v>-2124000</v>
      </c>
    </row>
    <row r="7" spans="1:26" ht="12.75" customHeight="1">
      <c r="A7" s="80" t="s">
        <v>30</v>
      </c>
      <c r="B7" s="288" t="s">
        <v>303</v>
      </c>
      <c r="C7" s="265">
        <f t="shared" ref="C7:N7" si="4">SUM(C8:C12)</f>
        <v>12857.142857142859</v>
      </c>
      <c r="D7" s="265">
        <f t="shared" si="4"/>
        <v>12857.142857142859</v>
      </c>
      <c r="E7" s="265">
        <f t="shared" si="4"/>
        <v>12857.142857142859</v>
      </c>
      <c r="F7" s="265">
        <f t="shared" si="4"/>
        <v>12857.142857142859</v>
      </c>
      <c r="G7" s="265">
        <f t="shared" si="4"/>
        <v>12857.142857142859</v>
      </c>
      <c r="H7" s="265">
        <f t="shared" si="4"/>
        <v>12857.142857142859</v>
      </c>
      <c r="I7" s="265">
        <f t="shared" si="4"/>
        <v>12857.142857142859</v>
      </c>
      <c r="J7" s="265">
        <f t="shared" si="4"/>
        <v>12857.142857142859</v>
      </c>
      <c r="K7" s="265">
        <f t="shared" si="4"/>
        <v>12857.142857142859</v>
      </c>
      <c r="L7" s="265">
        <f t="shared" si="4"/>
        <v>12857.142857142859</v>
      </c>
      <c r="M7" s="265">
        <f t="shared" si="4"/>
        <v>12857.142857142859</v>
      </c>
      <c r="N7" s="265">
        <f t="shared" si="4"/>
        <v>12857.142857142859</v>
      </c>
      <c r="O7" s="265">
        <f t="shared" ref="O7:Z7" si="5">SUM(O8:O12)</f>
        <v>12857.142857142859</v>
      </c>
      <c r="P7" s="265">
        <f t="shared" si="5"/>
        <v>12857.142857142859</v>
      </c>
      <c r="Q7" s="265">
        <f t="shared" si="5"/>
        <v>12857.142857142859</v>
      </c>
      <c r="R7" s="265">
        <f t="shared" si="5"/>
        <v>12857.142857142859</v>
      </c>
      <c r="S7" s="265">
        <f t="shared" si="5"/>
        <v>12857.142857142859</v>
      </c>
      <c r="T7" s="265">
        <f t="shared" si="5"/>
        <v>12857.142857142859</v>
      </c>
      <c r="U7" s="265">
        <f t="shared" si="5"/>
        <v>12857.142857142859</v>
      </c>
      <c r="V7" s="265">
        <f t="shared" si="5"/>
        <v>12857.142857142859</v>
      </c>
      <c r="W7" s="265">
        <f t="shared" si="5"/>
        <v>12857.142857142859</v>
      </c>
      <c r="X7" s="265">
        <f t="shared" si="5"/>
        <v>12857.142857142859</v>
      </c>
      <c r="Y7" s="265">
        <f t="shared" si="5"/>
        <v>12857.142857142859</v>
      </c>
      <c r="Z7" s="265">
        <f t="shared" si="5"/>
        <v>12857.142857142859</v>
      </c>
    </row>
    <row r="8" spans="1:26" ht="12.75" customHeight="1">
      <c r="A8" s="82" t="s">
        <v>93</v>
      </c>
      <c r="B8" s="94" t="s">
        <v>286</v>
      </c>
      <c r="C8" s="265">
        <f>Расчеты!B33-Расчеты!B39</f>
        <v>0</v>
      </c>
      <c r="D8" s="265">
        <f>Расчеты!C33-Расчеты!C39</f>
        <v>0</v>
      </c>
      <c r="E8" s="265">
        <f>Расчеты!D33-Расчеты!D39</f>
        <v>0</v>
      </c>
      <c r="F8" s="265">
        <f>Расчеты!E33-Расчеты!E39</f>
        <v>0</v>
      </c>
      <c r="G8" s="265">
        <f>Расчеты!F33-Расчеты!F39</f>
        <v>0</v>
      </c>
      <c r="H8" s="265">
        <f>Расчеты!G33-Расчеты!G39</f>
        <v>0</v>
      </c>
      <c r="I8" s="265">
        <f>Расчеты!H33-Расчеты!H39</f>
        <v>0</v>
      </c>
      <c r="J8" s="265">
        <f>Расчеты!I33-Расчеты!I39</f>
        <v>0</v>
      </c>
      <c r="K8" s="265">
        <f>Расчеты!J33-Расчеты!J39</f>
        <v>0</v>
      </c>
      <c r="L8" s="265">
        <f>Расчеты!K33-Расчеты!K39</f>
        <v>0</v>
      </c>
      <c r="M8" s="265">
        <f>Расчеты!L33-Расчеты!L39</f>
        <v>0</v>
      </c>
      <c r="N8" s="265">
        <f>Расчеты!M33-Расчеты!M39</f>
        <v>0</v>
      </c>
      <c r="O8" s="265">
        <f>Расчеты!N33-Расчеты!N39</f>
        <v>0</v>
      </c>
      <c r="P8" s="265">
        <f>Расчеты!O33-Расчеты!O39</f>
        <v>0</v>
      </c>
      <c r="Q8" s="265">
        <f>Расчеты!P33-Расчеты!P39</f>
        <v>0</v>
      </c>
      <c r="R8" s="265">
        <f>Расчеты!Q33-Расчеты!Q39</f>
        <v>0</v>
      </c>
      <c r="S8" s="265">
        <f>Расчеты!R33-Расчеты!R39</f>
        <v>0</v>
      </c>
      <c r="T8" s="265">
        <f>Расчеты!S33-Расчеты!S39</f>
        <v>0</v>
      </c>
      <c r="U8" s="265">
        <f>Расчеты!T33-Расчеты!T39</f>
        <v>0</v>
      </c>
      <c r="V8" s="265">
        <f>Расчеты!U33-Расчеты!U39</f>
        <v>0</v>
      </c>
      <c r="W8" s="265">
        <f>Расчеты!V33-Расчеты!V39</f>
        <v>0</v>
      </c>
      <c r="X8" s="265">
        <f>Расчеты!W33-Расчеты!W39</f>
        <v>0</v>
      </c>
      <c r="Y8" s="265">
        <f>Расчеты!X33-Расчеты!X39</f>
        <v>0</v>
      </c>
      <c r="Z8" s="265">
        <f>Расчеты!Y33-Расчеты!Y39</f>
        <v>0</v>
      </c>
    </row>
    <row r="9" spans="1:26" ht="12.75" customHeight="1">
      <c r="A9" s="82" t="s">
        <v>94</v>
      </c>
      <c r="B9" s="94" t="s">
        <v>287</v>
      </c>
      <c r="C9" s="265">
        <f>Расчеты!B34-Расчеты!B40</f>
        <v>0</v>
      </c>
      <c r="D9" s="265">
        <f>Расчеты!C34-Расчеты!C40</f>
        <v>0</v>
      </c>
      <c r="E9" s="265">
        <f>Расчеты!D34-Расчеты!D40</f>
        <v>0</v>
      </c>
      <c r="F9" s="265">
        <f>Расчеты!E34-Расчеты!E40</f>
        <v>0</v>
      </c>
      <c r="G9" s="265">
        <f>Расчеты!F34-Расчеты!F40</f>
        <v>0</v>
      </c>
      <c r="H9" s="265">
        <f>Расчеты!G34-Расчеты!G40</f>
        <v>0</v>
      </c>
      <c r="I9" s="265">
        <f>Расчеты!H34-Расчеты!H40</f>
        <v>0</v>
      </c>
      <c r="J9" s="265">
        <f>Расчеты!I34-Расчеты!I40</f>
        <v>0</v>
      </c>
      <c r="K9" s="265">
        <f>Расчеты!J34-Расчеты!J40</f>
        <v>0</v>
      </c>
      <c r="L9" s="265">
        <f>Расчеты!K34-Расчеты!K40</f>
        <v>0</v>
      </c>
      <c r="M9" s="265">
        <f>Расчеты!L34-Расчеты!L40</f>
        <v>0</v>
      </c>
      <c r="N9" s="265">
        <f>Расчеты!M34-Расчеты!M40</f>
        <v>0</v>
      </c>
      <c r="O9" s="265">
        <f>Расчеты!N34-Расчеты!N40</f>
        <v>0</v>
      </c>
      <c r="P9" s="265">
        <f>Расчеты!O34-Расчеты!O40</f>
        <v>0</v>
      </c>
      <c r="Q9" s="265">
        <f>Расчеты!P34-Расчеты!P40</f>
        <v>0</v>
      </c>
      <c r="R9" s="265">
        <f>Расчеты!Q34-Расчеты!Q40</f>
        <v>0</v>
      </c>
      <c r="S9" s="265">
        <f>Расчеты!R34-Расчеты!R40</f>
        <v>0</v>
      </c>
      <c r="T9" s="265">
        <f>Расчеты!S34-Расчеты!S40</f>
        <v>0</v>
      </c>
      <c r="U9" s="265">
        <f>Расчеты!T34-Расчеты!T40</f>
        <v>0</v>
      </c>
      <c r="V9" s="265">
        <f>Расчеты!U34-Расчеты!U40</f>
        <v>0</v>
      </c>
      <c r="W9" s="265">
        <f>Расчеты!V34-Расчеты!V40</f>
        <v>0</v>
      </c>
      <c r="X9" s="265">
        <f>Расчеты!W34-Расчеты!W40</f>
        <v>0</v>
      </c>
      <c r="Y9" s="265">
        <f>Расчеты!X34-Расчеты!X40</f>
        <v>0</v>
      </c>
      <c r="Z9" s="265">
        <f>Расчеты!Y34-Расчеты!Y40</f>
        <v>0</v>
      </c>
    </row>
    <row r="10" spans="1:26" ht="12.75" customHeight="1">
      <c r="A10" s="82" t="s">
        <v>95</v>
      </c>
      <c r="B10" s="94" t="s">
        <v>288</v>
      </c>
      <c r="C10" s="265">
        <f>Расчеты!B35-Расчеты!B41</f>
        <v>0</v>
      </c>
      <c r="D10" s="265">
        <f>Расчеты!C35-Расчеты!C41</f>
        <v>0</v>
      </c>
      <c r="E10" s="265">
        <f>Расчеты!D35-Расчеты!D41</f>
        <v>0</v>
      </c>
      <c r="F10" s="265">
        <f>Расчеты!E35-Расчеты!E41</f>
        <v>0</v>
      </c>
      <c r="G10" s="265">
        <f>Расчеты!F35-Расчеты!F41</f>
        <v>0</v>
      </c>
      <c r="H10" s="265">
        <f>Расчеты!G35-Расчеты!G41</f>
        <v>0</v>
      </c>
      <c r="I10" s="265">
        <f>Расчеты!H35-Расчеты!H41</f>
        <v>0</v>
      </c>
      <c r="J10" s="265">
        <f>Расчеты!I35-Расчеты!I41</f>
        <v>0</v>
      </c>
      <c r="K10" s="265">
        <f>Расчеты!J35-Расчеты!J41</f>
        <v>0</v>
      </c>
      <c r="L10" s="265">
        <f>Расчеты!K35-Расчеты!K41</f>
        <v>0</v>
      </c>
      <c r="M10" s="265">
        <f>Расчеты!L35-Расчеты!L41</f>
        <v>0</v>
      </c>
      <c r="N10" s="265">
        <f>Расчеты!M35-Расчеты!M41</f>
        <v>0</v>
      </c>
      <c r="O10" s="265">
        <f>Расчеты!N35-Расчеты!N41</f>
        <v>0</v>
      </c>
      <c r="P10" s="265">
        <f>Расчеты!O35-Расчеты!O41</f>
        <v>0</v>
      </c>
      <c r="Q10" s="265">
        <f>Расчеты!P35-Расчеты!P41</f>
        <v>0</v>
      </c>
      <c r="R10" s="265">
        <f>Расчеты!Q35-Расчеты!Q41</f>
        <v>0</v>
      </c>
      <c r="S10" s="265">
        <f>Расчеты!R35-Расчеты!R41</f>
        <v>0</v>
      </c>
      <c r="T10" s="265">
        <f>Расчеты!S35-Расчеты!S41</f>
        <v>0</v>
      </c>
      <c r="U10" s="265">
        <f>Расчеты!T35-Расчеты!T41</f>
        <v>0</v>
      </c>
      <c r="V10" s="265">
        <f>Расчеты!U35-Расчеты!U41</f>
        <v>0</v>
      </c>
      <c r="W10" s="265">
        <f>Расчеты!V35-Расчеты!V41</f>
        <v>0</v>
      </c>
      <c r="X10" s="265">
        <f>Расчеты!W35-Расчеты!W41</f>
        <v>0</v>
      </c>
      <c r="Y10" s="265">
        <f>Расчеты!X35-Расчеты!X41</f>
        <v>0</v>
      </c>
      <c r="Z10" s="265">
        <f>Расчеты!Y35-Расчеты!Y41</f>
        <v>0</v>
      </c>
    </row>
    <row r="11" spans="1:26" ht="12.75" customHeight="1">
      <c r="A11" s="82" t="s">
        <v>96</v>
      </c>
      <c r="B11" s="94" t="s">
        <v>295</v>
      </c>
      <c r="C11" s="265">
        <f>Расчеты!B36-Расчеты!B42</f>
        <v>5714.2857142857147</v>
      </c>
      <c r="D11" s="265">
        <f>Расчеты!C36-Расчеты!C42</f>
        <v>5714.2857142857147</v>
      </c>
      <c r="E11" s="265">
        <f>Расчеты!D36-Расчеты!D42</f>
        <v>5714.2857142857147</v>
      </c>
      <c r="F11" s="265">
        <f>Расчеты!E36-Расчеты!E42</f>
        <v>5714.2857142857147</v>
      </c>
      <c r="G11" s="265">
        <f>Расчеты!F36-Расчеты!F42</f>
        <v>5714.2857142857147</v>
      </c>
      <c r="H11" s="265">
        <f>Расчеты!G36-Расчеты!G42</f>
        <v>5714.2857142857147</v>
      </c>
      <c r="I11" s="265">
        <f>Расчеты!H36-Расчеты!H42</f>
        <v>5714.2857142857147</v>
      </c>
      <c r="J11" s="265">
        <f>Расчеты!I36-Расчеты!I42</f>
        <v>5714.2857142857147</v>
      </c>
      <c r="K11" s="265">
        <f>Расчеты!J36-Расчеты!J42</f>
        <v>5714.2857142857147</v>
      </c>
      <c r="L11" s="265">
        <f>Расчеты!K36-Расчеты!K42</f>
        <v>5714.2857142857147</v>
      </c>
      <c r="M11" s="265">
        <f>Расчеты!L36-Расчеты!L42</f>
        <v>5714.2857142857147</v>
      </c>
      <c r="N11" s="265">
        <f>Расчеты!M36-Расчеты!M42</f>
        <v>5714.2857142857147</v>
      </c>
      <c r="O11" s="265">
        <f>Расчеты!N36-Расчеты!N42</f>
        <v>5714.2857142857147</v>
      </c>
      <c r="P11" s="265">
        <f>Расчеты!O36-Расчеты!O42</f>
        <v>5714.2857142857147</v>
      </c>
      <c r="Q11" s="265">
        <f>Расчеты!P36-Расчеты!P42</f>
        <v>5714.2857142857147</v>
      </c>
      <c r="R11" s="265">
        <f>Расчеты!Q36-Расчеты!Q42</f>
        <v>5714.2857142857147</v>
      </c>
      <c r="S11" s="265">
        <f>Расчеты!R36-Расчеты!R42</f>
        <v>5714.2857142857147</v>
      </c>
      <c r="T11" s="265">
        <f>Расчеты!S36-Расчеты!S42</f>
        <v>5714.2857142857147</v>
      </c>
      <c r="U11" s="265">
        <f>Расчеты!T36-Расчеты!T42</f>
        <v>5714.2857142857147</v>
      </c>
      <c r="V11" s="265">
        <f>Расчеты!U36-Расчеты!U42</f>
        <v>5714.2857142857147</v>
      </c>
      <c r="W11" s="265">
        <f>Расчеты!V36-Расчеты!V42</f>
        <v>5714.2857142857147</v>
      </c>
      <c r="X11" s="265">
        <f>Расчеты!W36-Расчеты!W42</f>
        <v>5714.2857142857147</v>
      </c>
      <c r="Y11" s="265">
        <f>Расчеты!X36-Расчеты!X42</f>
        <v>5714.2857142857147</v>
      </c>
      <c r="Z11" s="265">
        <f>Расчеты!Y36-Расчеты!Y42</f>
        <v>5714.2857142857147</v>
      </c>
    </row>
    <row r="12" spans="1:26" ht="12.75" customHeight="1">
      <c r="A12" s="82" t="s">
        <v>97</v>
      </c>
      <c r="B12" s="94" t="s">
        <v>289</v>
      </c>
      <c r="C12" s="265">
        <f>Расчеты!B37-Расчеты!B43</f>
        <v>7142.8571428571431</v>
      </c>
      <c r="D12" s="265">
        <f>Расчеты!C37-Расчеты!C43</f>
        <v>7142.8571428571431</v>
      </c>
      <c r="E12" s="265">
        <f>Расчеты!D37-Расчеты!D43</f>
        <v>7142.8571428571431</v>
      </c>
      <c r="F12" s="265">
        <f>Расчеты!E37-Расчеты!E43</f>
        <v>7142.8571428571431</v>
      </c>
      <c r="G12" s="265">
        <f>Расчеты!F37-Расчеты!F43</f>
        <v>7142.8571428571431</v>
      </c>
      <c r="H12" s="265">
        <f>Расчеты!G37-Расчеты!G43</f>
        <v>7142.8571428571431</v>
      </c>
      <c r="I12" s="265">
        <f>Расчеты!H37-Расчеты!H43</f>
        <v>7142.8571428571431</v>
      </c>
      <c r="J12" s="265">
        <f>Расчеты!I37-Расчеты!I43</f>
        <v>7142.8571428571431</v>
      </c>
      <c r="K12" s="265">
        <f>Расчеты!J37-Расчеты!J43</f>
        <v>7142.8571428571431</v>
      </c>
      <c r="L12" s="265">
        <f>Расчеты!K37-Расчеты!K43</f>
        <v>7142.8571428571431</v>
      </c>
      <c r="M12" s="265">
        <f>Расчеты!L37-Расчеты!L43</f>
        <v>7142.8571428571431</v>
      </c>
      <c r="N12" s="265">
        <f>Расчеты!M37-Расчеты!M43</f>
        <v>7142.8571428571431</v>
      </c>
      <c r="O12" s="265">
        <f>Расчеты!N37-Расчеты!N43</f>
        <v>7142.8571428571431</v>
      </c>
      <c r="P12" s="265">
        <f>Расчеты!O37-Расчеты!O43</f>
        <v>7142.8571428571431</v>
      </c>
      <c r="Q12" s="265">
        <f>Расчеты!P37-Расчеты!P43</f>
        <v>7142.8571428571431</v>
      </c>
      <c r="R12" s="265">
        <f>Расчеты!Q37-Расчеты!Q43</f>
        <v>7142.8571428571431</v>
      </c>
      <c r="S12" s="265">
        <f>Расчеты!R37-Расчеты!R43</f>
        <v>7142.8571428571431</v>
      </c>
      <c r="T12" s="265">
        <f>Расчеты!S37-Расчеты!S43</f>
        <v>7142.8571428571431</v>
      </c>
      <c r="U12" s="265">
        <f>Расчеты!T37-Расчеты!T43</f>
        <v>7142.8571428571431</v>
      </c>
      <c r="V12" s="265">
        <f>Расчеты!U37-Расчеты!U43</f>
        <v>7142.8571428571431</v>
      </c>
      <c r="W12" s="265">
        <f>Расчеты!V37-Расчеты!V43</f>
        <v>7142.8571428571431</v>
      </c>
      <c r="X12" s="265">
        <f>Расчеты!W37-Расчеты!W43</f>
        <v>7142.8571428571431</v>
      </c>
      <c r="Y12" s="265">
        <f>Расчеты!X37-Расчеты!X43</f>
        <v>7142.8571428571431</v>
      </c>
      <c r="Z12" s="265">
        <f>Расчеты!Y37-Расчеты!Y43</f>
        <v>7142.8571428571431</v>
      </c>
    </row>
    <row r="13" spans="1:26" ht="12.75" customHeight="1">
      <c r="A13" s="80" t="s">
        <v>37</v>
      </c>
      <c r="B13" s="288" t="s">
        <v>304</v>
      </c>
      <c r="C13" s="265">
        <f>Данные!C216</f>
        <v>0</v>
      </c>
      <c r="D13" s="265">
        <f>Данные!D216</f>
        <v>0</v>
      </c>
      <c r="E13" s="265">
        <f>Данные!E216</f>
        <v>0</v>
      </c>
      <c r="F13" s="265">
        <f>Данные!F216</f>
        <v>0</v>
      </c>
      <c r="G13" s="265">
        <f>Данные!G216</f>
        <v>0</v>
      </c>
      <c r="H13" s="265">
        <f>Данные!H216</f>
        <v>0</v>
      </c>
      <c r="I13" s="265">
        <f>Данные!I216</f>
        <v>0</v>
      </c>
      <c r="J13" s="265">
        <f>Данные!J216</f>
        <v>0</v>
      </c>
      <c r="K13" s="265">
        <f>Данные!K216</f>
        <v>0</v>
      </c>
      <c r="L13" s="265">
        <f>Данные!L216</f>
        <v>0</v>
      </c>
      <c r="M13" s="265">
        <f>Данные!M216</f>
        <v>0</v>
      </c>
      <c r="N13" s="265">
        <f>Данные!N216</f>
        <v>0</v>
      </c>
      <c r="O13" s="265">
        <f>Данные!O216</f>
        <v>0</v>
      </c>
      <c r="P13" s="265">
        <f>Данные!P216</f>
        <v>0</v>
      </c>
      <c r="Q13" s="265">
        <f>Данные!Q216</f>
        <v>0</v>
      </c>
      <c r="R13" s="265">
        <f>Данные!R216</f>
        <v>0</v>
      </c>
      <c r="S13" s="265">
        <f>Данные!S216</f>
        <v>0</v>
      </c>
      <c r="T13" s="265">
        <f>Данные!T216</f>
        <v>0</v>
      </c>
      <c r="U13" s="265">
        <f>Данные!U216</f>
        <v>0</v>
      </c>
      <c r="V13" s="265">
        <f>Данные!V216</f>
        <v>0</v>
      </c>
      <c r="W13" s="265">
        <f>Данные!W216</f>
        <v>0</v>
      </c>
      <c r="X13" s="265">
        <f>Данные!X216</f>
        <v>0</v>
      </c>
      <c r="Y13" s="265">
        <f>Данные!Y216</f>
        <v>0</v>
      </c>
      <c r="Z13" s="265">
        <f>Данные!Z216</f>
        <v>0</v>
      </c>
    </row>
    <row r="14" spans="1:26" ht="12.75" customHeight="1">
      <c r="A14" s="80" t="s">
        <v>38</v>
      </c>
      <c r="B14" s="288" t="s">
        <v>305</v>
      </c>
      <c r="C14" s="265">
        <f>Данные!C171+Данные!C218</f>
        <v>200000</v>
      </c>
      <c r="D14" s="265">
        <f>C14+Данные!D218</f>
        <v>390000</v>
      </c>
      <c r="E14" s="265">
        <f>D14+Данные!E218</f>
        <v>550000</v>
      </c>
      <c r="F14" s="265">
        <f>E14+Данные!F218</f>
        <v>550000</v>
      </c>
      <c r="G14" s="265">
        <f>F14+Данные!G218</f>
        <v>550000</v>
      </c>
      <c r="H14" s="265">
        <f>G14+Данные!H218</f>
        <v>550000</v>
      </c>
      <c r="I14" s="265">
        <f>H14+Данные!I218</f>
        <v>550000</v>
      </c>
      <c r="J14" s="265">
        <f>I14+Данные!J218</f>
        <v>550000</v>
      </c>
      <c r="K14" s="265">
        <f>J14+Данные!K218</f>
        <v>550000</v>
      </c>
      <c r="L14" s="265">
        <f>K14+Данные!L218</f>
        <v>550000</v>
      </c>
      <c r="M14" s="265">
        <f>L14+Данные!M218</f>
        <v>550000</v>
      </c>
      <c r="N14" s="265">
        <f>M14+Данные!N218</f>
        <v>550000</v>
      </c>
      <c r="O14" s="265">
        <f>N14+Данные!O218</f>
        <v>550000</v>
      </c>
      <c r="P14" s="265">
        <f>O14+Данные!P218</f>
        <v>550000</v>
      </c>
      <c r="Q14" s="265">
        <f>P14+Данные!Q218</f>
        <v>550000</v>
      </c>
      <c r="R14" s="265">
        <f>Q14+Данные!R218</f>
        <v>550000</v>
      </c>
      <c r="S14" s="265">
        <f>R14+Данные!S218</f>
        <v>550000</v>
      </c>
      <c r="T14" s="265">
        <f>S14+Данные!T218</f>
        <v>550000</v>
      </c>
      <c r="U14" s="265">
        <f>T14+Данные!U218</f>
        <v>550000</v>
      </c>
      <c r="V14" s="265">
        <f>U14+Данные!V218</f>
        <v>550000</v>
      </c>
      <c r="W14" s="265">
        <f>V14+Данные!W218</f>
        <v>550000</v>
      </c>
      <c r="X14" s="265">
        <f>W14+Данные!X218</f>
        <v>550000</v>
      </c>
      <c r="Y14" s="265">
        <f>X14+Данные!Y218</f>
        <v>550000</v>
      </c>
      <c r="Z14" s="265">
        <f>Y14+Данные!Z218</f>
        <v>550000</v>
      </c>
    </row>
    <row r="15" spans="1:26" ht="12.75" customHeight="1">
      <c r="A15" s="81" t="s">
        <v>101</v>
      </c>
      <c r="B15" s="289" t="s">
        <v>306</v>
      </c>
      <c r="C15" s="266">
        <f t="shared" ref="C15:Z15" si="6">C7+C13+C14</f>
        <v>212857.14285714287</v>
      </c>
      <c r="D15" s="266">
        <f t="shared" si="6"/>
        <v>402857.14285714284</v>
      </c>
      <c r="E15" s="266">
        <f t="shared" si="6"/>
        <v>562857.14285714284</v>
      </c>
      <c r="F15" s="266">
        <f t="shared" si="6"/>
        <v>562857.14285714284</v>
      </c>
      <c r="G15" s="266">
        <f t="shared" si="6"/>
        <v>562857.14285714284</v>
      </c>
      <c r="H15" s="266">
        <f t="shared" si="6"/>
        <v>562857.14285714284</v>
      </c>
      <c r="I15" s="266">
        <f t="shared" si="6"/>
        <v>562857.14285714284</v>
      </c>
      <c r="J15" s="266">
        <f t="shared" si="6"/>
        <v>562857.14285714284</v>
      </c>
      <c r="K15" s="266">
        <f t="shared" si="6"/>
        <v>562857.14285714284</v>
      </c>
      <c r="L15" s="266">
        <f t="shared" si="6"/>
        <v>562857.14285714284</v>
      </c>
      <c r="M15" s="266">
        <f t="shared" si="6"/>
        <v>562857.14285714284</v>
      </c>
      <c r="N15" s="266">
        <f t="shared" si="6"/>
        <v>562857.14285714284</v>
      </c>
      <c r="O15" s="266">
        <f t="shared" si="6"/>
        <v>562857.14285714284</v>
      </c>
      <c r="P15" s="266">
        <f t="shared" si="6"/>
        <v>562857.14285714284</v>
      </c>
      <c r="Q15" s="266">
        <f t="shared" si="6"/>
        <v>562857.14285714284</v>
      </c>
      <c r="R15" s="266">
        <f t="shared" si="6"/>
        <v>562857.14285714284</v>
      </c>
      <c r="S15" s="266">
        <f t="shared" si="6"/>
        <v>562857.14285714284</v>
      </c>
      <c r="T15" s="266">
        <f t="shared" si="6"/>
        <v>562857.14285714284</v>
      </c>
      <c r="U15" s="266">
        <f t="shared" si="6"/>
        <v>562857.14285714284</v>
      </c>
      <c r="V15" s="266">
        <f t="shared" si="6"/>
        <v>562857.14285714284</v>
      </c>
      <c r="W15" s="266">
        <f t="shared" si="6"/>
        <v>562857.14285714284</v>
      </c>
      <c r="X15" s="266">
        <f t="shared" si="6"/>
        <v>562857.14285714284</v>
      </c>
      <c r="Y15" s="266">
        <f t="shared" si="6"/>
        <v>562857.14285714284</v>
      </c>
      <c r="Z15" s="266">
        <f t="shared" si="6"/>
        <v>562857.14285714284</v>
      </c>
    </row>
    <row r="16" spans="1:26" ht="12.75" customHeight="1">
      <c r="A16" s="83" t="s">
        <v>98</v>
      </c>
      <c r="B16" s="290" t="s">
        <v>307</v>
      </c>
      <c r="C16" s="267">
        <f t="shared" ref="C16:Z16" si="7">C15+C6</f>
        <v>-137142.85714285713</v>
      </c>
      <c r="D16" s="267">
        <f t="shared" si="7"/>
        <v>-287142.85714285716</v>
      </c>
      <c r="E16" s="267">
        <f t="shared" si="7"/>
        <v>-467142.85714285716</v>
      </c>
      <c r="F16" s="267">
        <f t="shared" si="7"/>
        <v>-423142.85714285716</v>
      </c>
      <c r="G16" s="267">
        <f t="shared" si="7"/>
        <v>-37142.857142857159</v>
      </c>
      <c r="H16" s="267">
        <f t="shared" si="7"/>
        <v>838857.14285714284</v>
      </c>
      <c r="I16" s="267">
        <f t="shared" si="7"/>
        <v>838857.14285714284</v>
      </c>
      <c r="J16" s="267">
        <f t="shared" si="7"/>
        <v>838857.14285714284</v>
      </c>
      <c r="K16" s="267">
        <f t="shared" si="7"/>
        <v>838857.14285714284</v>
      </c>
      <c r="L16" s="267">
        <f t="shared" si="7"/>
        <v>838857.14285714284</v>
      </c>
      <c r="M16" s="267">
        <f t="shared" si="7"/>
        <v>838857.14285714284</v>
      </c>
      <c r="N16" s="267">
        <f t="shared" si="7"/>
        <v>838857.14285714284</v>
      </c>
      <c r="O16" s="267">
        <f t="shared" si="7"/>
        <v>638857.14285714284</v>
      </c>
      <c r="P16" s="267">
        <f t="shared" si="7"/>
        <v>438857.14285714284</v>
      </c>
      <c r="Q16" s="267">
        <f t="shared" si="7"/>
        <v>238857.14285714284</v>
      </c>
      <c r="R16" s="267">
        <f t="shared" si="7"/>
        <v>38857.142857142841</v>
      </c>
      <c r="S16" s="267">
        <f t="shared" si="7"/>
        <v>-161142.85714285716</v>
      </c>
      <c r="T16" s="267">
        <f t="shared" si="7"/>
        <v>-361142.85714285716</v>
      </c>
      <c r="U16" s="267">
        <f t="shared" si="7"/>
        <v>-561142.85714285716</v>
      </c>
      <c r="V16" s="267">
        <f t="shared" si="7"/>
        <v>-761142.85714285716</v>
      </c>
      <c r="W16" s="267">
        <f t="shared" si="7"/>
        <v>-961142.85714285716</v>
      </c>
      <c r="X16" s="267">
        <f t="shared" si="7"/>
        <v>-1161142.8571428573</v>
      </c>
      <c r="Y16" s="267">
        <f t="shared" si="7"/>
        <v>-1361142.8571428573</v>
      </c>
      <c r="Z16" s="267">
        <f t="shared" si="7"/>
        <v>-1561142.8571428573</v>
      </c>
    </row>
    <row r="17" spans="1:26" ht="12.75" customHeight="1">
      <c r="A17" s="80" t="s">
        <v>49</v>
      </c>
      <c r="B17" s="288" t="s">
        <v>308</v>
      </c>
      <c r="C17" s="265">
        <f>(SUM(Расчеты!$B$55:B55)-SUM('Кэш-фло'!$C$4:C4))/(1+VAT)</f>
        <v>0</v>
      </c>
      <c r="D17" s="265">
        <f>(SUM(Расчеты!$B$55:C55)-SUM('Кэш-фло'!$C$4:D4))/(1+VAT)</f>
        <v>0</v>
      </c>
      <c r="E17" s="265">
        <f>(SUM(Расчеты!$B$55:D55)-SUM('Кэш-фло'!$C$4:E4))/(1+VAT)</f>
        <v>0</v>
      </c>
      <c r="F17" s="265">
        <f>(SUM(Расчеты!$B$55:E55)-SUM('Кэш-фло'!$C$4:F4))/(1+VAT)</f>
        <v>0</v>
      </c>
      <c r="G17" s="265">
        <f>(SUM(Расчеты!$B$55:F55)-SUM('Кэш-фло'!$C$4:G4))/(1+VAT)</f>
        <v>0</v>
      </c>
      <c r="H17" s="265">
        <f>(SUM(Расчеты!$B$55:G55)-SUM('Кэш-фло'!$C$4:H4))/(1+VAT)</f>
        <v>0</v>
      </c>
      <c r="I17" s="265">
        <f>(SUM(Расчеты!$B$55:H55)-SUM('Кэш-фло'!$C$4:I4))/(1+VAT)</f>
        <v>0</v>
      </c>
      <c r="J17" s="265">
        <f>(SUM(Расчеты!$B$55:I55)-SUM('Кэш-фло'!$C$4:J4))/(1+VAT)</f>
        <v>0</v>
      </c>
      <c r="K17" s="265">
        <f>(SUM(Расчеты!$B$55:J55)-SUM('Кэш-фло'!$C$4:K4))/(1+VAT)</f>
        <v>0</v>
      </c>
      <c r="L17" s="265">
        <f>(SUM(Расчеты!$B$55:K55)-SUM('Кэш-фло'!$C$4:L4))/(1+VAT)</f>
        <v>0</v>
      </c>
      <c r="M17" s="265">
        <f>(SUM(Расчеты!$B$55:L55)-SUM('Кэш-фло'!$C$4:M4))/(1+VAT)</f>
        <v>0</v>
      </c>
      <c r="N17" s="265">
        <f>(SUM(Расчеты!$B$55:M55)-SUM('Кэш-фло'!$C$4:N4))/(1+VAT)</f>
        <v>0</v>
      </c>
      <c r="O17" s="265">
        <f>(SUM(Расчеты!$B$55:N55)-SUM('Кэш-фло'!$C$4:O4))/(1+VAT)</f>
        <v>0</v>
      </c>
      <c r="P17" s="265">
        <f>(SUM(Расчеты!$B$55:O55)-SUM('Кэш-фло'!$C$4:P4))/(1+VAT)</f>
        <v>0</v>
      </c>
      <c r="Q17" s="265">
        <f>(SUM(Расчеты!$B$55:P55)-SUM('Кэш-фло'!$C$4:Q4))/(1+VAT)</f>
        <v>0</v>
      </c>
      <c r="R17" s="265">
        <f>(SUM(Расчеты!$B$55:Q55)-SUM('Кэш-фло'!$C$4:R4))/(1+VAT)</f>
        <v>0</v>
      </c>
      <c r="S17" s="265">
        <f>(SUM(Расчеты!$B$55:R55)-SUM('Кэш-фло'!$C$4:S4))/(1+VAT)</f>
        <v>0</v>
      </c>
      <c r="T17" s="265">
        <f>(SUM(Расчеты!$B$55:S55)-SUM('Кэш-фло'!$C$4:T4))/(1+VAT)</f>
        <v>0</v>
      </c>
      <c r="U17" s="265">
        <f>(SUM(Расчеты!$B$55:T55)-SUM('Кэш-фло'!$C$4:U4))/(1+VAT)</f>
        <v>0</v>
      </c>
      <c r="V17" s="265">
        <f>(SUM(Расчеты!$B$55:U55)-SUM('Кэш-фло'!$C$4:V4))/(1+VAT)</f>
        <v>0</v>
      </c>
      <c r="W17" s="265">
        <f>(SUM(Расчеты!$B$55:V55)-SUM('Кэш-фло'!$C$4:W4))/(1+VAT)</f>
        <v>0</v>
      </c>
      <c r="X17" s="265">
        <f>(SUM(Расчеты!$B$55:W55)-SUM('Кэш-фло'!$C$4:X4))/(1+VAT)</f>
        <v>0</v>
      </c>
      <c r="Y17" s="265">
        <f>(SUM(Расчеты!$B$55:X55)-SUM('Кэш-фло'!$C$4:Y4))/(1+VAT)</f>
        <v>0</v>
      </c>
      <c r="Z17" s="265">
        <f>(SUM(Расчеты!$B$55:Y55)-SUM('Кэш-фло'!$C$4:Z4))/(1+VAT)</f>
        <v>0</v>
      </c>
    </row>
    <row r="18" spans="1:26" ht="12.95" customHeight="1">
      <c r="A18" s="256" t="s">
        <v>254</v>
      </c>
      <c r="B18" s="256" t="s">
        <v>309</v>
      </c>
      <c r="C18" s="268">
        <f ca="1">-SUM(OFFSET('Кэш-фло'!C17,0,1,1,12/PERIOD_LEN))</f>
        <v>0</v>
      </c>
      <c r="D18" s="268">
        <f ca="1">-SUM(OFFSET('Кэш-фло'!D17,0,1,1,12/PERIOD_LEN))</f>
        <v>0</v>
      </c>
      <c r="E18" s="268">
        <f ca="1">-SUM(OFFSET('Кэш-фло'!E17,0,1,1,12/PERIOD_LEN))</f>
        <v>0</v>
      </c>
      <c r="F18" s="268">
        <f ca="1">-SUM(OFFSET('Кэш-фло'!F17,0,1,1,12/PERIOD_LEN))</f>
        <v>0</v>
      </c>
      <c r="G18" s="268">
        <f ca="1">-SUM(OFFSET('Кэш-фло'!G17,0,1,1,12/PERIOD_LEN))</f>
        <v>0</v>
      </c>
      <c r="H18" s="268">
        <f ca="1">-SUM(OFFSET('Кэш-фло'!H17,0,1,1,12/PERIOD_LEN))</f>
        <v>0</v>
      </c>
      <c r="I18" s="268">
        <f ca="1">-SUM(OFFSET('Кэш-фло'!I17,0,1,1,12/PERIOD_LEN))</f>
        <v>0</v>
      </c>
      <c r="J18" s="268">
        <f ca="1">-SUM(OFFSET('Кэш-фло'!J17,0,1,1,12/PERIOD_LEN))</f>
        <v>0</v>
      </c>
      <c r="K18" s="268">
        <f ca="1">-SUM(OFFSET('Кэш-фло'!K17,0,1,1,12/PERIOD_LEN))</f>
        <v>0</v>
      </c>
      <c r="L18" s="268">
        <f ca="1">-SUM(OFFSET('Кэш-фло'!L17,0,1,1,12/PERIOD_LEN))</f>
        <v>0</v>
      </c>
      <c r="M18" s="268">
        <f ca="1">-SUM(OFFSET('Кэш-фло'!M17,0,1,1,12/PERIOD_LEN))</f>
        <v>0</v>
      </c>
      <c r="N18" s="268">
        <f ca="1">-SUM(OFFSET('Кэш-фло'!N17,0,1,1,12/PERIOD_LEN))</f>
        <v>0</v>
      </c>
      <c r="O18" s="268">
        <f ca="1">-SUM(OFFSET('Кэш-фло'!O17,0,1,1,12/PERIOD_LEN))</f>
        <v>0</v>
      </c>
      <c r="P18" s="268">
        <f ca="1">-SUM(OFFSET('Кэш-фло'!P17,0,1,1,12/PERIOD_LEN))</f>
        <v>0</v>
      </c>
      <c r="Q18" s="268">
        <f ca="1">-SUM(OFFSET('Кэш-фло'!Q17,0,1,1,12/PERIOD_LEN))</f>
        <v>0</v>
      </c>
      <c r="R18" s="268">
        <f ca="1">-SUM(OFFSET('Кэш-фло'!R17,0,1,1,12/PERIOD_LEN))</f>
        <v>0</v>
      </c>
      <c r="S18" s="268">
        <f ca="1">-SUM(OFFSET('Кэш-фло'!S17,0,1,1,12/PERIOD_LEN))</f>
        <v>0</v>
      </c>
      <c r="T18" s="268">
        <f ca="1">-SUM(OFFSET('Кэш-фло'!T17,0,1,1,12/PERIOD_LEN))</f>
        <v>0</v>
      </c>
      <c r="U18" s="268">
        <f ca="1">-SUM(OFFSET('Кэш-фло'!U17,0,1,1,12/PERIOD_LEN))</f>
        <v>0</v>
      </c>
      <c r="V18" s="268">
        <f ca="1">-SUM(OFFSET('Кэш-фло'!V17,0,1,1,12/PERIOD_LEN))</f>
        <v>0</v>
      </c>
      <c r="W18" s="268">
        <f ca="1">-SUM(OFFSET('Кэш-фло'!W17,0,1,1,12/PERIOD_LEN))</f>
        <v>0</v>
      </c>
      <c r="X18" s="268">
        <f ca="1">-SUM(OFFSET('Кэш-фло'!X17,0,1,1,12/PERIOD_LEN))</f>
        <v>0</v>
      </c>
      <c r="Y18" s="268">
        <f ca="1">-SUM(OFFSET('Кэш-фло'!Y17,0,1,1,12/PERIOD_LEN))</f>
        <v>0</v>
      </c>
      <c r="Z18" s="268">
        <f ca="1">-SUM(OFFSET('Кэш-фло'!Z17,0,1,1,12/PERIOD_LEN))</f>
        <v>0</v>
      </c>
    </row>
    <row r="19" spans="1:26" ht="12.75" customHeight="1">
      <c r="A19" s="81" t="s">
        <v>103</v>
      </c>
      <c r="B19" s="289" t="s">
        <v>310</v>
      </c>
      <c r="C19" s="266">
        <f ca="1">C17+C18</f>
        <v>0</v>
      </c>
      <c r="D19" s="266">
        <f t="shared" ref="D19:N19" ca="1" si="8">D17+D18</f>
        <v>0</v>
      </c>
      <c r="E19" s="266">
        <f t="shared" ca="1" si="8"/>
        <v>0</v>
      </c>
      <c r="F19" s="266">
        <f t="shared" ca="1" si="8"/>
        <v>0</v>
      </c>
      <c r="G19" s="266">
        <f t="shared" ca="1" si="8"/>
        <v>0</v>
      </c>
      <c r="H19" s="266">
        <f t="shared" ca="1" si="8"/>
        <v>0</v>
      </c>
      <c r="I19" s="266">
        <f t="shared" ca="1" si="8"/>
        <v>0</v>
      </c>
      <c r="J19" s="266">
        <f t="shared" ca="1" si="8"/>
        <v>0</v>
      </c>
      <c r="K19" s="266">
        <f t="shared" ca="1" si="8"/>
        <v>0</v>
      </c>
      <c r="L19" s="266">
        <f t="shared" ca="1" si="8"/>
        <v>0</v>
      </c>
      <c r="M19" s="266">
        <f t="shared" ca="1" si="8"/>
        <v>0</v>
      </c>
      <c r="N19" s="266">
        <f t="shared" ca="1" si="8"/>
        <v>0</v>
      </c>
      <c r="O19" s="266">
        <f t="shared" ref="O19:Z19" ca="1" si="9">O17+O18</f>
        <v>0</v>
      </c>
      <c r="P19" s="266">
        <f t="shared" ca="1" si="9"/>
        <v>0</v>
      </c>
      <c r="Q19" s="266">
        <f t="shared" ca="1" si="9"/>
        <v>0</v>
      </c>
      <c r="R19" s="266">
        <f t="shared" ca="1" si="9"/>
        <v>0</v>
      </c>
      <c r="S19" s="266">
        <f t="shared" ca="1" si="9"/>
        <v>0</v>
      </c>
      <c r="T19" s="266">
        <f t="shared" ca="1" si="9"/>
        <v>0</v>
      </c>
      <c r="U19" s="266">
        <f t="shared" ca="1" si="9"/>
        <v>0</v>
      </c>
      <c r="V19" s="266">
        <f t="shared" ca="1" si="9"/>
        <v>0</v>
      </c>
      <c r="W19" s="266">
        <f t="shared" ca="1" si="9"/>
        <v>0</v>
      </c>
      <c r="X19" s="266">
        <f t="shared" ca="1" si="9"/>
        <v>0</v>
      </c>
      <c r="Y19" s="266">
        <f t="shared" ca="1" si="9"/>
        <v>0</v>
      </c>
      <c r="Z19" s="266">
        <f t="shared" ca="1" si="9"/>
        <v>0</v>
      </c>
    </row>
    <row r="20" spans="1:26" ht="12.75" customHeight="1">
      <c r="A20" s="81" t="s">
        <v>50</v>
      </c>
      <c r="B20" s="289" t="s">
        <v>311</v>
      </c>
      <c r="C20" s="266">
        <f ca="1">Данные!C226+Данные!C232+Данные!C238-C18</f>
        <v>0</v>
      </c>
      <c r="D20" s="266">
        <f ca="1">Данные!D226+Данные!D232+Данные!D238-D18</f>
        <v>0</v>
      </c>
      <c r="E20" s="266">
        <f ca="1">Данные!E226+Данные!E232+Данные!E238-E18</f>
        <v>0</v>
      </c>
      <c r="F20" s="266">
        <f ca="1">Данные!F226+Данные!F232+Данные!F238-F18</f>
        <v>0</v>
      </c>
      <c r="G20" s="266">
        <f ca="1">Данные!G226+Данные!G232+Данные!G238-G18</f>
        <v>0</v>
      </c>
      <c r="H20" s="266">
        <f ca="1">Данные!H226+Данные!H232+Данные!H238-H18</f>
        <v>0</v>
      </c>
      <c r="I20" s="266">
        <f ca="1">Данные!I226+Данные!I232+Данные!I238-I18</f>
        <v>0</v>
      </c>
      <c r="J20" s="266">
        <f ca="1">Данные!J226+Данные!J232+Данные!J238-J18</f>
        <v>0</v>
      </c>
      <c r="K20" s="266">
        <f ca="1">Данные!K226+Данные!K232+Данные!K238-K18</f>
        <v>0</v>
      </c>
      <c r="L20" s="266">
        <f ca="1">Данные!L226+Данные!L232+Данные!L238-L18</f>
        <v>0</v>
      </c>
      <c r="M20" s="266">
        <f ca="1">Данные!M226+Данные!M232+Данные!M238-M18</f>
        <v>0</v>
      </c>
      <c r="N20" s="266">
        <f ca="1">Данные!N226+Данные!N232+Данные!N238-N18</f>
        <v>0</v>
      </c>
      <c r="O20" s="266">
        <f ca="1">Данные!O226+Данные!O232+Данные!O238-O18</f>
        <v>0</v>
      </c>
      <c r="P20" s="266">
        <f ca="1">Данные!P226+Данные!P232+Данные!P238-P18</f>
        <v>0</v>
      </c>
      <c r="Q20" s="266">
        <f ca="1">Данные!Q226+Данные!Q232+Данные!Q238-Q18</f>
        <v>0</v>
      </c>
      <c r="R20" s="266">
        <f ca="1">Данные!R226+Данные!R232+Данные!R238-R18</f>
        <v>0</v>
      </c>
      <c r="S20" s="266">
        <f ca="1">Данные!S226+Данные!S232+Данные!S238-S18</f>
        <v>0</v>
      </c>
      <c r="T20" s="266">
        <f ca="1">Данные!T226+Данные!T232+Данные!T238-T18</f>
        <v>0</v>
      </c>
      <c r="U20" s="266">
        <f ca="1">Данные!U226+Данные!U232+Данные!U238-U18</f>
        <v>0</v>
      </c>
      <c r="V20" s="266">
        <f ca="1">Данные!V226+Данные!V232+Данные!V238-V18</f>
        <v>0</v>
      </c>
      <c r="W20" s="266">
        <f ca="1">Данные!W226+Данные!W232+Данные!W238-W18</f>
        <v>0</v>
      </c>
      <c r="X20" s="266">
        <f ca="1">Данные!X226+Данные!X232+Данные!X238-X18</f>
        <v>0</v>
      </c>
      <c r="Y20" s="266">
        <f ca="1">Данные!Y226+Данные!Y232+Данные!Y238-Y18</f>
        <v>0</v>
      </c>
      <c r="Z20" s="266">
        <f ca="1">Данные!Z226+Данные!Z232+Данные!Z238-Z18</f>
        <v>0</v>
      </c>
    </row>
    <row r="21" spans="1:26" ht="12.75" customHeight="1">
      <c r="A21" s="80" t="s">
        <v>55</v>
      </c>
      <c r="B21" s="288" t="s">
        <v>312</v>
      </c>
      <c r="C21" s="265">
        <f>Данные!C192+'Кэш-фло'!C15</f>
        <v>0</v>
      </c>
      <c r="D21" s="265">
        <f>C21+'Кэш-фло'!D15</f>
        <v>0</v>
      </c>
      <c r="E21" s="265">
        <f>D21+'Кэш-фло'!E15</f>
        <v>0</v>
      </c>
      <c r="F21" s="265">
        <f>E21+'Кэш-фло'!F15</f>
        <v>0</v>
      </c>
      <c r="G21" s="265">
        <f>F21+'Кэш-фло'!G15</f>
        <v>0</v>
      </c>
      <c r="H21" s="265">
        <f>G21+'Кэш-фло'!H15</f>
        <v>0</v>
      </c>
      <c r="I21" s="265">
        <f>H21+'Кэш-фло'!I15</f>
        <v>0</v>
      </c>
      <c r="J21" s="265">
        <f>I21+'Кэш-фло'!J15</f>
        <v>0</v>
      </c>
      <c r="K21" s="265">
        <f>J21+'Кэш-фло'!K15</f>
        <v>0</v>
      </c>
      <c r="L21" s="265">
        <f>K21+'Кэш-фло'!L15</f>
        <v>0</v>
      </c>
      <c r="M21" s="265">
        <f>L21+'Кэш-фло'!M15</f>
        <v>0</v>
      </c>
      <c r="N21" s="265">
        <f>M21+'Кэш-фло'!N15</f>
        <v>0</v>
      </c>
      <c r="O21" s="265">
        <f>N21+'Кэш-фло'!O15</f>
        <v>0</v>
      </c>
      <c r="P21" s="265">
        <f>O21+'Кэш-фло'!P15</f>
        <v>0</v>
      </c>
      <c r="Q21" s="265">
        <f>P21+'Кэш-фло'!Q15</f>
        <v>0</v>
      </c>
      <c r="R21" s="265">
        <f>Q21+'Кэш-фло'!R15</f>
        <v>0</v>
      </c>
      <c r="S21" s="265">
        <f>R21+'Кэш-фло'!S15</f>
        <v>0</v>
      </c>
      <c r="T21" s="265">
        <f>S21+'Кэш-фло'!T15</f>
        <v>0</v>
      </c>
      <c r="U21" s="265">
        <f>T21+'Кэш-фло'!U15</f>
        <v>0</v>
      </c>
      <c r="V21" s="265">
        <f>U21+'Кэш-фло'!V15</f>
        <v>0</v>
      </c>
      <c r="W21" s="265">
        <f>V21+'Кэш-фло'!W15</f>
        <v>0</v>
      </c>
      <c r="X21" s="265">
        <f>W21+'Кэш-фло'!X15</f>
        <v>0</v>
      </c>
      <c r="Y21" s="265">
        <f>X21+'Кэш-фло'!Y15</f>
        <v>0</v>
      </c>
      <c r="Z21" s="265">
        <f>Y21+'Кэш-фло'!Z15</f>
        <v>0</v>
      </c>
    </row>
    <row r="22" spans="1:26" ht="12.75" customHeight="1">
      <c r="A22" s="80" t="s">
        <v>56</v>
      </c>
      <c r="B22" s="288" t="s">
        <v>313</v>
      </c>
      <c r="C22" s="265">
        <f>Данные!C193</f>
        <v>0</v>
      </c>
      <c r="D22" s="265">
        <f t="shared" ref="D22:N22" si="10">C22</f>
        <v>0</v>
      </c>
      <c r="E22" s="265">
        <f t="shared" si="10"/>
        <v>0</v>
      </c>
      <c r="F22" s="265">
        <f t="shared" si="10"/>
        <v>0</v>
      </c>
      <c r="G22" s="265">
        <f t="shared" si="10"/>
        <v>0</v>
      </c>
      <c r="H22" s="265">
        <f t="shared" si="10"/>
        <v>0</v>
      </c>
      <c r="I22" s="265">
        <f t="shared" si="10"/>
        <v>0</v>
      </c>
      <c r="J22" s="265">
        <f t="shared" si="10"/>
        <v>0</v>
      </c>
      <c r="K22" s="265">
        <f t="shared" si="10"/>
        <v>0</v>
      </c>
      <c r="L22" s="265">
        <f t="shared" si="10"/>
        <v>0</v>
      </c>
      <c r="M22" s="265">
        <f t="shared" si="10"/>
        <v>0</v>
      </c>
      <c r="N22" s="265">
        <f t="shared" si="10"/>
        <v>0</v>
      </c>
      <c r="O22" s="265">
        <f t="shared" ref="O22:Z22" si="11">N22</f>
        <v>0</v>
      </c>
      <c r="P22" s="265">
        <f t="shared" si="11"/>
        <v>0</v>
      </c>
      <c r="Q22" s="265">
        <f t="shared" si="11"/>
        <v>0</v>
      </c>
      <c r="R22" s="265">
        <f t="shared" si="11"/>
        <v>0</v>
      </c>
      <c r="S22" s="265">
        <f t="shared" si="11"/>
        <v>0</v>
      </c>
      <c r="T22" s="265">
        <f t="shared" si="11"/>
        <v>0</v>
      </c>
      <c r="U22" s="265">
        <f t="shared" si="11"/>
        <v>0</v>
      </c>
      <c r="V22" s="265">
        <f t="shared" si="11"/>
        <v>0</v>
      </c>
      <c r="W22" s="265">
        <f t="shared" si="11"/>
        <v>0</v>
      </c>
      <c r="X22" s="265">
        <f t="shared" si="11"/>
        <v>0</v>
      </c>
      <c r="Y22" s="265">
        <f t="shared" si="11"/>
        <v>0</v>
      </c>
      <c r="Z22" s="265">
        <f t="shared" si="11"/>
        <v>0</v>
      </c>
    </row>
    <row r="23" spans="1:26" ht="12.75" customHeight="1">
      <c r="A23" s="80" t="s">
        <v>247</v>
      </c>
      <c r="B23" s="288" t="s">
        <v>314</v>
      </c>
      <c r="C23" s="265">
        <f>Данные!C194+Данные!C195+Прибыль!C28</f>
        <v>-150214.28571428571</v>
      </c>
      <c r="D23" s="265">
        <f>C23+Прибыль!D28</f>
        <v>-300428.57142857142</v>
      </c>
      <c r="E23" s="265">
        <f>D23+Прибыль!E28</f>
        <v>-480642.85714285716</v>
      </c>
      <c r="F23" s="265">
        <f>E23+Прибыль!F28</f>
        <v>-436857.1428571429</v>
      </c>
      <c r="G23" s="265">
        <f>F23+Прибыль!G28</f>
        <v>-51071.428571428638</v>
      </c>
      <c r="H23" s="265">
        <f>G23+Прибыль!H28</f>
        <v>824714.28571428568</v>
      </c>
      <c r="I23" s="265">
        <f>H23+Прибыль!I28</f>
        <v>824500</v>
      </c>
      <c r="J23" s="265">
        <f>I23+Прибыль!J28</f>
        <v>824285.71428571432</v>
      </c>
      <c r="K23" s="265">
        <f>J23+Прибыль!K28</f>
        <v>824071.42857142864</v>
      </c>
      <c r="L23" s="265">
        <f>K23+Прибыль!L28</f>
        <v>823857.14285714296</v>
      </c>
      <c r="M23" s="265">
        <f>L23+Прибыль!M28</f>
        <v>823642.85714285728</v>
      </c>
      <c r="N23" s="265">
        <f>M23+Прибыль!N28</f>
        <v>823428.57142857159</v>
      </c>
      <c r="O23" s="265">
        <f>N23+Прибыль!O28</f>
        <v>623214.28571428591</v>
      </c>
      <c r="P23" s="265">
        <f>O23+Прибыль!P28</f>
        <v>423000.00000000023</v>
      </c>
      <c r="Q23" s="265">
        <f>P23+Прибыль!Q28</f>
        <v>222785.71428571452</v>
      </c>
      <c r="R23" s="265">
        <f>Q23+Прибыль!R28</f>
        <v>22571.428571428813</v>
      </c>
      <c r="S23" s="265">
        <f>R23+Прибыль!S28</f>
        <v>-177642.8571428569</v>
      </c>
      <c r="T23" s="265">
        <f>S23+Прибыль!T28</f>
        <v>-377857.14285714261</v>
      </c>
      <c r="U23" s="265">
        <f>T23+Прибыль!U28</f>
        <v>-578071.42857142829</v>
      </c>
      <c r="V23" s="265">
        <f>U23+Прибыль!V28</f>
        <v>-778285.71428571397</v>
      </c>
      <c r="W23" s="265">
        <f>V23+Прибыль!W28</f>
        <v>-978499.99999999965</v>
      </c>
      <c r="X23" s="265">
        <f>W23+Прибыль!X28</f>
        <v>-1178714.2857142854</v>
      </c>
      <c r="Y23" s="265">
        <f>X23+Прибыль!Y28</f>
        <v>-1378928.5714285711</v>
      </c>
      <c r="Z23" s="265">
        <f>Y23+Прибыль!Z28</f>
        <v>-1579142.8571428568</v>
      </c>
    </row>
    <row r="24" spans="1:26" ht="12.75" customHeight="1">
      <c r="A24" s="81" t="s">
        <v>104</v>
      </c>
      <c r="B24" s="289" t="s">
        <v>315</v>
      </c>
      <c r="C24" s="266">
        <f t="shared" ref="C24:N24" si="12">SUM(C21:C23)</f>
        <v>-150214.28571428571</v>
      </c>
      <c r="D24" s="266">
        <f t="shared" si="12"/>
        <v>-300428.57142857142</v>
      </c>
      <c r="E24" s="266">
        <f t="shared" si="12"/>
        <v>-480642.85714285716</v>
      </c>
      <c r="F24" s="266">
        <f t="shared" si="12"/>
        <v>-436857.1428571429</v>
      </c>
      <c r="G24" s="266">
        <f t="shared" si="12"/>
        <v>-51071.428571428638</v>
      </c>
      <c r="H24" s="266">
        <f t="shared" si="12"/>
        <v>824714.28571428568</v>
      </c>
      <c r="I24" s="266">
        <f t="shared" si="12"/>
        <v>824500</v>
      </c>
      <c r="J24" s="266">
        <f t="shared" si="12"/>
        <v>824285.71428571432</v>
      </c>
      <c r="K24" s="266">
        <f t="shared" si="12"/>
        <v>824071.42857142864</v>
      </c>
      <c r="L24" s="266">
        <f t="shared" si="12"/>
        <v>823857.14285714296</v>
      </c>
      <c r="M24" s="266">
        <f t="shared" si="12"/>
        <v>823642.85714285728</v>
      </c>
      <c r="N24" s="266">
        <f t="shared" si="12"/>
        <v>823428.57142857159</v>
      </c>
      <c r="O24" s="266">
        <f t="shared" ref="O24:Z24" si="13">SUM(O21:O23)</f>
        <v>623214.28571428591</v>
      </c>
      <c r="P24" s="266">
        <f t="shared" si="13"/>
        <v>423000.00000000023</v>
      </c>
      <c r="Q24" s="266">
        <f t="shared" si="13"/>
        <v>222785.71428571452</v>
      </c>
      <c r="R24" s="266">
        <f t="shared" si="13"/>
        <v>22571.428571428813</v>
      </c>
      <c r="S24" s="266">
        <f t="shared" si="13"/>
        <v>-177642.8571428569</v>
      </c>
      <c r="T24" s="266">
        <f t="shared" si="13"/>
        <v>-377857.14285714261</v>
      </c>
      <c r="U24" s="266">
        <f t="shared" si="13"/>
        <v>-578071.42857142829</v>
      </c>
      <c r="V24" s="266">
        <f t="shared" si="13"/>
        <v>-778285.71428571397</v>
      </c>
      <c r="W24" s="266">
        <f t="shared" si="13"/>
        <v>-978499.99999999965</v>
      </c>
      <c r="X24" s="266">
        <f t="shared" si="13"/>
        <v>-1178714.2857142854</v>
      </c>
      <c r="Y24" s="266">
        <f t="shared" si="13"/>
        <v>-1378928.5714285711</v>
      </c>
      <c r="Z24" s="266">
        <f t="shared" si="13"/>
        <v>-1579142.8571428568</v>
      </c>
    </row>
    <row r="25" spans="1:26" ht="12.75" customHeight="1" thickBot="1">
      <c r="A25" s="84" t="s">
        <v>105</v>
      </c>
      <c r="B25" s="291" t="s">
        <v>316</v>
      </c>
      <c r="C25" s="269">
        <f ca="1">C19+C20+C24</f>
        <v>-150214.28571428571</v>
      </c>
      <c r="D25" s="269">
        <f t="shared" ref="D25:N25" ca="1" si="14">D19+D20+D24</f>
        <v>-300428.57142857142</v>
      </c>
      <c r="E25" s="269">
        <f t="shared" ca="1" si="14"/>
        <v>-480642.85714285716</v>
      </c>
      <c r="F25" s="269">
        <f t="shared" ca="1" si="14"/>
        <v>-436857.1428571429</v>
      </c>
      <c r="G25" s="269">
        <f t="shared" ca="1" si="14"/>
        <v>-51071.428571428638</v>
      </c>
      <c r="H25" s="269">
        <f t="shared" ca="1" si="14"/>
        <v>824714.28571428568</v>
      </c>
      <c r="I25" s="269">
        <f t="shared" ca="1" si="14"/>
        <v>824500</v>
      </c>
      <c r="J25" s="269">
        <f t="shared" ca="1" si="14"/>
        <v>824285.71428571432</v>
      </c>
      <c r="K25" s="269">
        <f t="shared" ca="1" si="14"/>
        <v>824071.42857142864</v>
      </c>
      <c r="L25" s="269">
        <f t="shared" ca="1" si="14"/>
        <v>823857.14285714296</v>
      </c>
      <c r="M25" s="269">
        <f t="shared" ca="1" si="14"/>
        <v>823642.85714285728</v>
      </c>
      <c r="N25" s="269">
        <f t="shared" ca="1" si="14"/>
        <v>823428.57142857159</v>
      </c>
      <c r="O25" s="269">
        <f t="shared" ref="O25:Z25" ca="1" si="15">O19+O20+O24</f>
        <v>623214.28571428591</v>
      </c>
      <c r="P25" s="269">
        <f t="shared" ca="1" si="15"/>
        <v>423000.00000000023</v>
      </c>
      <c r="Q25" s="269">
        <f t="shared" ca="1" si="15"/>
        <v>222785.71428571452</v>
      </c>
      <c r="R25" s="269">
        <f t="shared" ca="1" si="15"/>
        <v>22571.428571428813</v>
      </c>
      <c r="S25" s="269">
        <f t="shared" ca="1" si="15"/>
        <v>-177642.8571428569</v>
      </c>
      <c r="T25" s="269">
        <f t="shared" ca="1" si="15"/>
        <v>-377857.14285714261</v>
      </c>
      <c r="U25" s="269">
        <f t="shared" ca="1" si="15"/>
        <v>-578071.42857142829</v>
      </c>
      <c r="V25" s="269">
        <f t="shared" ca="1" si="15"/>
        <v>-778285.71428571397</v>
      </c>
      <c r="W25" s="269">
        <f t="shared" ca="1" si="15"/>
        <v>-978499.99999999965</v>
      </c>
      <c r="X25" s="269">
        <f t="shared" ca="1" si="15"/>
        <v>-1178714.2857142854</v>
      </c>
      <c r="Y25" s="269">
        <f t="shared" ca="1" si="15"/>
        <v>-1378928.5714285711</v>
      </c>
      <c r="Z25" s="269">
        <f t="shared" ca="1" si="15"/>
        <v>-1579142.8571428568</v>
      </c>
    </row>
    <row r="26" spans="1:26" ht="12.95" customHeight="1">
      <c r="A26" s="85"/>
      <c r="B26" s="85"/>
      <c r="C26" s="86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</row>
  </sheetData>
  <sheetProtection sheet="1" objects="1" scenarios="1"/>
  <pageMargins left="0.98425196850393704" right="0.98425196850393704" top="0.98425196850393704" bottom="0.98425196850393704" header="0.51181102362204722" footer="0.51181102362204722"/>
  <pageSetup paperSize="9" orientation="landscape" horizontalDpi="4294967292" r:id="rId1"/>
  <headerFooter alignWithMargins="0">
    <oddHeader>&amp;LМастерская бизнес-планирования (tm)&amp;R&amp;"Arial Cyr,курсив\Инвестиционный анализ</oddHeader>
    <oddFooter>&amp;L&amp;D &amp;T&amp;C&amp;F&amp;RСтр. &amp;P из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/>
  <dimension ref="A1:Z26"/>
  <sheetViews>
    <sheetView workbookViewId="0">
      <selection activeCell="A13" sqref="A13"/>
    </sheetView>
  </sheetViews>
  <sheetFormatPr defaultColWidth="9.140625" defaultRowHeight="12.95" customHeight="1"/>
  <cols>
    <col min="1" max="1" width="36.7109375" style="67" customWidth="1"/>
    <col min="2" max="2" width="36.7109375" style="67" hidden="1" customWidth="1"/>
    <col min="3" max="8" width="10.7109375" style="67" customWidth="1"/>
    <col min="9" max="26" width="10.7109375" style="67" hidden="1" customWidth="1"/>
    <col min="27" max="16384" width="9.140625" style="67"/>
  </cols>
  <sheetData>
    <row r="1" spans="1:26" s="70" customFormat="1" ht="26.25" customHeight="1" thickBot="1">
      <c r="A1" s="68" t="s">
        <v>99</v>
      </c>
      <c r="B1" s="68" t="s">
        <v>335</v>
      </c>
      <c r="C1" s="69" t="str">
        <f>Данные!C40</f>
        <v>1/2027</v>
      </c>
      <c r="D1" s="69" t="str">
        <f>Данные!D40</f>
        <v>2/2027</v>
      </c>
      <c r="E1" s="69" t="str">
        <f>Данные!E40</f>
        <v>3/2027</v>
      </c>
      <c r="F1" s="69" t="str">
        <f>Данные!F40</f>
        <v>4/2027</v>
      </c>
      <c r="G1" s="69" t="str">
        <f>Данные!G40</f>
        <v>5/2027</v>
      </c>
      <c r="H1" s="69" t="str">
        <f>Данные!H40</f>
        <v>6/2027</v>
      </c>
      <c r="I1" s="69" t="str">
        <f>Данные!I40</f>
        <v>7/2027</v>
      </c>
      <c r="J1" s="69" t="str">
        <f>Данные!J40</f>
        <v>8/2027</v>
      </c>
      <c r="K1" s="69" t="str">
        <f>Данные!K40</f>
        <v>9/2027</v>
      </c>
      <c r="L1" s="69" t="str">
        <f>Данные!L40</f>
        <v>10/2027</v>
      </c>
      <c r="M1" s="69" t="str">
        <f>Данные!M40</f>
        <v>11/2027</v>
      </c>
      <c r="N1" s="69" t="str">
        <f>Данные!N40</f>
        <v>12/2027</v>
      </c>
      <c r="O1" s="69" t="str">
        <f>Данные!O40</f>
        <v>1/2028</v>
      </c>
      <c r="P1" s="69" t="str">
        <f>Данные!P40</f>
        <v>2/2028</v>
      </c>
      <c r="Q1" s="69" t="str">
        <f>Данные!Q40</f>
        <v>3/2028</v>
      </c>
      <c r="R1" s="69" t="str">
        <f>Данные!R40</f>
        <v>4/2028</v>
      </c>
      <c r="S1" s="69" t="str">
        <f>Данные!S40</f>
        <v>5/2028</v>
      </c>
      <c r="T1" s="69" t="str">
        <f>Данные!T40</f>
        <v>6/2028</v>
      </c>
      <c r="U1" s="69" t="str">
        <f>Данные!U40</f>
        <v>7/2028</v>
      </c>
      <c r="V1" s="69" t="str">
        <f>Данные!V40</f>
        <v>8/2028</v>
      </c>
      <c r="W1" s="69" t="str">
        <f>Данные!W40</f>
        <v>9/2028</v>
      </c>
      <c r="X1" s="69" t="str">
        <f>Данные!X40</f>
        <v>10/2028</v>
      </c>
      <c r="Y1" s="69" t="str">
        <f>Данные!Y40</f>
        <v>11/2028</v>
      </c>
      <c r="Z1" s="69" t="str">
        <f>Данные!Z40</f>
        <v>12/2028</v>
      </c>
    </row>
    <row r="2" spans="1:26" ht="12.75" customHeight="1">
      <c r="A2" s="239"/>
      <c r="B2" s="239"/>
      <c r="C2" s="275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275"/>
      <c r="O2" s="275"/>
      <c r="P2" s="275"/>
      <c r="Q2" s="275"/>
      <c r="R2" s="275"/>
      <c r="S2" s="275"/>
      <c r="T2" s="275"/>
      <c r="U2" s="275"/>
      <c r="V2" s="275"/>
      <c r="W2" s="275"/>
      <c r="X2" s="275"/>
      <c r="Y2" s="275"/>
      <c r="Z2" s="275"/>
    </row>
    <row r="3" spans="1:26" ht="12.75" customHeight="1">
      <c r="A3" s="239" t="s">
        <v>219</v>
      </c>
      <c r="B3" s="239" t="s">
        <v>318</v>
      </c>
      <c r="C3" s="276">
        <f>IF(DEBIT_FRA&lt;0.01,IF(Расчеты!B1-DEBIT_INT&gt;0.99,INDEX(Анализ!$B$44:$Y$44,Расчеты!B1-DEBIT_INT),0),IF(Расчеты!B1-DEBIT_INT&gt;1.99,INDEX(Анализ!$B$44:$Y$44,Расчеты!B1-DEBIT_INT-1)*DEBIT_FRA,0)+IF(Расчеты!B1-DEBIT_INT&gt;0.99,INDEX(Анализ!$B$44:$Y$44,Расчеты!B1-DEBIT_INT)*(1-DEBIT_FRA),0))</f>
        <v>0</v>
      </c>
      <c r="D3" s="276">
        <f>IF(DEBIT_FRA&lt;0.01,IF(Расчеты!C1-DEBIT_INT&gt;0.99,INDEX(Анализ!$B$44:$Y$44,Расчеты!C1-DEBIT_INT),0),IF(Расчеты!C1-DEBIT_INT&gt;1.99,INDEX(Анализ!$B$44:$Y$44,Расчеты!C1-DEBIT_INT-1)*DEBIT_FRA,0)+IF(Расчеты!C1-DEBIT_INT&gt;0.99,INDEX(Анализ!$B$44:$Y$44,Расчеты!C1-DEBIT_INT)*(1-DEBIT_FRA),0))</f>
        <v>0</v>
      </c>
      <c r="E3" s="276">
        <f>IF(DEBIT_FRA&lt;0.01,IF(Расчеты!D1-DEBIT_INT&gt;0.99,INDEX(Анализ!$B$44:$Y$44,Расчеты!D1-DEBIT_INT),0),IF(Расчеты!D1-DEBIT_INT&gt;1.99,INDEX(Анализ!$B$44:$Y$44,Расчеты!D1-DEBIT_INT-1)*DEBIT_FRA,0)+IF(Расчеты!D1-DEBIT_INT&gt;0.99,INDEX(Анализ!$B$44:$Y$44,Расчеты!D1-DEBIT_INT)*(1-DEBIT_FRA),0))</f>
        <v>0</v>
      </c>
      <c r="F3" s="276">
        <f>IF(DEBIT_FRA&lt;0.01,IF(Расчеты!E1-DEBIT_INT&gt;0.99,INDEX(Анализ!$B$44:$Y$44,Расчеты!E1-DEBIT_INT),0),IF(Расчеты!E1-DEBIT_INT&gt;1.99,INDEX(Анализ!$B$44:$Y$44,Расчеты!E1-DEBIT_INT-1)*DEBIT_FRA,0)+IF(Расчеты!E1-DEBIT_INT&gt;0.99,INDEX(Анализ!$B$44:$Y$44,Расчеты!E1-DEBIT_INT)*(1-DEBIT_FRA),0))</f>
        <v>300000</v>
      </c>
      <c r="G3" s="276">
        <f>IF(DEBIT_FRA&lt;0.01,IF(Расчеты!F1-DEBIT_INT&gt;0.99,INDEX(Анализ!$B$44:$Y$44,Расчеты!F1-DEBIT_INT),0),IF(Расчеты!F1-DEBIT_INT&gt;1.99,INDEX(Анализ!$B$44:$Y$44,Расчеты!F1-DEBIT_INT-1)*DEBIT_FRA,0)+IF(Расчеты!F1-DEBIT_INT&gt;0.99,INDEX(Анализ!$B$44:$Y$44,Расчеты!F1-DEBIT_INT)*(1-DEBIT_FRA),0))</f>
        <v>700000</v>
      </c>
      <c r="H3" s="276">
        <f>IF(DEBIT_FRA&lt;0.01,IF(Расчеты!G1-DEBIT_INT&gt;0.99,INDEX(Анализ!$B$44:$Y$44,Расчеты!G1-DEBIT_INT),0),IF(Расчеты!G1-DEBIT_INT&gt;1.99,INDEX(Анализ!$B$44:$Y$44,Расчеты!G1-DEBIT_INT-1)*DEBIT_FRA,0)+IF(Расчеты!G1-DEBIT_INT&gt;0.99,INDEX(Анализ!$B$44:$Y$44,Расчеты!G1-DEBIT_INT)*(1-DEBIT_FRA),0))</f>
        <v>1200000</v>
      </c>
      <c r="I3" s="276">
        <f>IF(DEBIT_FRA&lt;0.01,IF(Расчеты!H1-DEBIT_INT&gt;0.99,INDEX(Анализ!$B$44:$Y$44,Расчеты!H1-DEBIT_INT),0),IF(Расчеты!H1-DEBIT_INT&gt;1.99,INDEX(Анализ!$B$44:$Y$44,Расчеты!H1-DEBIT_INT-1)*DEBIT_FRA,0)+IF(Расчеты!H1-DEBIT_INT&gt;0.99,INDEX(Анализ!$B$44:$Y$44,Расчеты!H1-DEBIT_INT)*(1-DEBIT_FRA),0))</f>
        <v>0</v>
      </c>
      <c r="J3" s="276">
        <f>IF(DEBIT_FRA&lt;0.01,IF(Расчеты!I1-DEBIT_INT&gt;0.99,INDEX(Анализ!$B$44:$Y$44,Расчеты!I1-DEBIT_INT),0),IF(Расчеты!I1-DEBIT_INT&gt;1.99,INDEX(Анализ!$B$44:$Y$44,Расчеты!I1-DEBIT_INT-1)*DEBIT_FRA,0)+IF(Расчеты!I1-DEBIT_INT&gt;0.99,INDEX(Анализ!$B$44:$Y$44,Расчеты!I1-DEBIT_INT)*(1-DEBIT_FRA),0))</f>
        <v>0</v>
      </c>
      <c r="K3" s="276">
        <f>IF(DEBIT_FRA&lt;0.01,IF(Расчеты!J1-DEBIT_INT&gt;0.99,INDEX(Анализ!$B$44:$Y$44,Расчеты!J1-DEBIT_INT),0),IF(Расчеты!J1-DEBIT_INT&gt;1.99,INDEX(Анализ!$B$44:$Y$44,Расчеты!J1-DEBIT_INT-1)*DEBIT_FRA,0)+IF(Расчеты!J1-DEBIT_INT&gt;0.99,INDEX(Анализ!$B$44:$Y$44,Расчеты!J1-DEBIT_INT)*(1-DEBIT_FRA),0))</f>
        <v>0</v>
      </c>
      <c r="L3" s="276">
        <f>IF(DEBIT_FRA&lt;0.01,IF(Расчеты!K1-DEBIT_INT&gt;0.99,INDEX(Анализ!$B$44:$Y$44,Расчеты!K1-DEBIT_INT),0),IF(Расчеты!K1-DEBIT_INT&gt;1.99,INDEX(Анализ!$B$44:$Y$44,Расчеты!K1-DEBIT_INT-1)*DEBIT_FRA,0)+IF(Расчеты!K1-DEBIT_INT&gt;0.99,INDEX(Анализ!$B$44:$Y$44,Расчеты!K1-DEBIT_INT)*(1-DEBIT_FRA),0))</f>
        <v>0</v>
      </c>
      <c r="M3" s="276">
        <f>IF(DEBIT_FRA&lt;0.01,IF(Расчеты!L1-DEBIT_INT&gt;0.99,INDEX(Анализ!$B$44:$Y$44,Расчеты!L1-DEBIT_INT),0),IF(Расчеты!L1-DEBIT_INT&gt;1.99,INDEX(Анализ!$B$44:$Y$44,Расчеты!L1-DEBIT_INT-1)*DEBIT_FRA,0)+IF(Расчеты!L1-DEBIT_INT&gt;0.99,INDEX(Анализ!$B$44:$Y$44,Расчеты!L1-DEBIT_INT)*(1-DEBIT_FRA),0))</f>
        <v>0</v>
      </c>
      <c r="N3" s="276">
        <f>IF(DEBIT_FRA&lt;0.01,IF(Расчеты!M1-DEBIT_INT&gt;0.99,INDEX(Анализ!$B$44:$Y$44,Расчеты!M1-DEBIT_INT),0),IF(Расчеты!M1-DEBIT_INT&gt;1.99,INDEX(Анализ!$B$44:$Y$44,Расчеты!M1-DEBIT_INT-1)*DEBIT_FRA,0)+IF(Расчеты!M1-DEBIT_INT&gt;0.99,INDEX(Анализ!$B$44:$Y$44,Расчеты!M1-DEBIT_INT)*(1-DEBIT_FRA),0))</f>
        <v>0</v>
      </c>
      <c r="O3" s="276">
        <f>IF(DEBIT_FRA&lt;0.01,IF(Расчеты!N1-DEBIT_INT&gt;0.99,INDEX(Анализ!$B$44:$Y$44,Расчеты!N1-DEBIT_INT),0),IF(Расчеты!N1-DEBIT_INT&gt;1.99,INDEX(Анализ!$B$44:$Y$44,Расчеты!N1-DEBIT_INT-1)*DEBIT_FRA,0)+IF(Расчеты!N1-DEBIT_INT&gt;0.99,INDEX(Анализ!$B$44:$Y$44,Расчеты!N1-DEBIT_INT)*(1-DEBIT_FRA),0))</f>
        <v>0</v>
      </c>
      <c r="P3" s="276">
        <f>IF(DEBIT_FRA&lt;0.01,IF(Расчеты!O1-DEBIT_INT&gt;0.99,INDEX(Анализ!$B$44:$Y$44,Расчеты!O1-DEBIT_INT),0),IF(Расчеты!O1-DEBIT_INT&gt;1.99,INDEX(Анализ!$B$44:$Y$44,Расчеты!O1-DEBIT_INT-1)*DEBIT_FRA,0)+IF(Расчеты!O1-DEBIT_INT&gt;0.99,INDEX(Анализ!$B$44:$Y$44,Расчеты!O1-DEBIT_INT)*(1-DEBIT_FRA),0))</f>
        <v>0</v>
      </c>
      <c r="Q3" s="276">
        <f>IF(DEBIT_FRA&lt;0.01,IF(Расчеты!P1-DEBIT_INT&gt;0.99,INDEX(Анализ!$B$44:$Y$44,Расчеты!P1-DEBIT_INT),0),IF(Расчеты!P1-DEBIT_INT&gt;1.99,INDEX(Анализ!$B$44:$Y$44,Расчеты!P1-DEBIT_INT-1)*DEBIT_FRA,0)+IF(Расчеты!P1-DEBIT_INT&gt;0.99,INDEX(Анализ!$B$44:$Y$44,Расчеты!P1-DEBIT_INT)*(1-DEBIT_FRA),0))</f>
        <v>0</v>
      </c>
      <c r="R3" s="276">
        <f>IF(DEBIT_FRA&lt;0.01,IF(Расчеты!Q1-DEBIT_INT&gt;0.99,INDEX(Анализ!$B$44:$Y$44,Расчеты!Q1-DEBIT_INT),0),IF(Расчеты!Q1-DEBIT_INT&gt;1.99,INDEX(Анализ!$B$44:$Y$44,Расчеты!Q1-DEBIT_INT-1)*DEBIT_FRA,0)+IF(Расчеты!Q1-DEBIT_INT&gt;0.99,INDEX(Анализ!$B$44:$Y$44,Расчеты!Q1-DEBIT_INT)*(1-DEBIT_FRA),0))</f>
        <v>0</v>
      </c>
      <c r="S3" s="276">
        <f>IF(DEBIT_FRA&lt;0.01,IF(Расчеты!R1-DEBIT_INT&gt;0.99,INDEX(Анализ!$B$44:$Y$44,Расчеты!R1-DEBIT_INT),0),IF(Расчеты!R1-DEBIT_INT&gt;1.99,INDEX(Анализ!$B$44:$Y$44,Расчеты!R1-DEBIT_INT-1)*DEBIT_FRA,0)+IF(Расчеты!R1-DEBIT_INT&gt;0.99,INDEX(Анализ!$B$44:$Y$44,Расчеты!R1-DEBIT_INT)*(1-DEBIT_FRA),0))</f>
        <v>0</v>
      </c>
      <c r="T3" s="276">
        <f>IF(DEBIT_FRA&lt;0.01,IF(Расчеты!S1-DEBIT_INT&gt;0.99,INDEX(Анализ!$B$44:$Y$44,Расчеты!S1-DEBIT_INT),0),IF(Расчеты!S1-DEBIT_INT&gt;1.99,INDEX(Анализ!$B$44:$Y$44,Расчеты!S1-DEBIT_INT-1)*DEBIT_FRA,0)+IF(Расчеты!S1-DEBIT_INT&gt;0.99,INDEX(Анализ!$B$44:$Y$44,Расчеты!S1-DEBIT_INT)*(1-DEBIT_FRA),0))</f>
        <v>0</v>
      </c>
      <c r="U3" s="276">
        <f>IF(DEBIT_FRA&lt;0.01,IF(Расчеты!T1-DEBIT_INT&gt;0.99,INDEX(Анализ!$B$44:$Y$44,Расчеты!T1-DEBIT_INT),0),IF(Расчеты!T1-DEBIT_INT&gt;1.99,INDEX(Анализ!$B$44:$Y$44,Расчеты!T1-DEBIT_INT-1)*DEBIT_FRA,0)+IF(Расчеты!T1-DEBIT_INT&gt;0.99,INDEX(Анализ!$B$44:$Y$44,Расчеты!T1-DEBIT_INT)*(1-DEBIT_FRA),0))</f>
        <v>0</v>
      </c>
      <c r="V3" s="276">
        <f>IF(DEBIT_FRA&lt;0.01,IF(Расчеты!U1-DEBIT_INT&gt;0.99,INDEX(Анализ!$B$44:$Y$44,Расчеты!U1-DEBIT_INT),0),IF(Расчеты!U1-DEBIT_INT&gt;1.99,INDEX(Анализ!$B$44:$Y$44,Расчеты!U1-DEBIT_INT-1)*DEBIT_FRA,0)+IF(Расчеты!U1-DEBIT_INT&gt;0.99,INDEX(Анализ!$B$44:$Y$44,Расчеты!U1-DEBIT_INT)*(1-DEBIT_FRA),0))</f>
        <v>0</v>
      </c>
      <c r="W3" s="276">
        <f>IF(DEBIT_FRA&lt;0.01,IF(Расчеты!V1-DEBIT_INT&gt;0.99,INDEX(Анализ!$B$44:$Y$44,Расчеты!V1-DEBIT_INT),0),IF(Расчеты!V1-DEBIT_INT&gt;1.99,INDEX(Анализ!$B$44:$Y$44,Расчеты!V1-DEBIT_INT-1)*DEBIT_FRA,0)+IF(Расчеты!V1-DEBIT_INT&gt;0.99,INDEX(Анализ!$B$44:$Y$44,Расчеты!V1-DEBIT_INT)*(1-DEBIT_FRA),0))</f>
        <v>0</v>
      </c>
      <c r="X3" s="276">
        <f>IF(DEBIT_FRA&lt;0.01,IF(Расчеты!W1-DEBIT_INT&gt;0.99,INDEX(Анализ!$B$44:$Y$44,Расчеты!W1-DEBIT_INT),0),IF(Расчеты!W1-DEBIT_INT&gt;1.99,INDEX(Анализ!$B$44:$Y$44,Расчеты!W1-DEBIT_INT-1)*DEBIT_FRA,0)+IF(Расчеты!W1-DEBIT_INT&gt;0.99,INDEX(Анализ!$B$44:$Y$44,Расчеты!W1-DEBIT_INT)*(1-DEBIT_FRA),0))</f>
        <v>0</v>
      </c>
      <c r="Y3" s="276">
        <f>IF(DEBIT_FRA&lt;0.01,IF(Расчеты!X1-DEBIT_INT&gt;0.99,INDEX(Анализ!$B$44:$Y$44,Расчеты!X1-DEBIT_INT),0),IF(Расчеты!X1-DEBIT_INT&gt;1.99,INDEX(Анализ!$B$44:$Y$44,Расчеты!X1-DEBIT_INT-1)*DEBIT_FRA,0)+IF(Расчеты!X1-DEBIT_INT&gt;0.99,INDEX(Анализ!$B$44:$Y$44,Расчеты!X1-DEBIT_INT)*(1-DEBIT_FRA),0))</f>
        <v>0</v>
      </c>
      <c r="Z3" s="276">
        <f>IF(DEBIT_FRA&lt;0.01,IF(Расчеты!Y1-DEBIT_INT&gt;0.99,INDEX(Анализ!$B$44:$Y$44,Расчеты!Y1-DEBIT_INT),0),IF(Расчеты!Y1-DEBIT_INT&gt;1.99,INDEX(Анализ!$B$44:$Y$44,Расчеты!Y1-DEBIT_INT-1)*DEBIT_FRA,0)+IF(Расчеты!Y1-DEBIT_INT&gt;0.99,INDEX(Анализ!$B$44:$Y$44,Расчеты!Y1-DEBIT_INT)*(1-DEBIT_FRA),0))</f>
        <v>0</v>
      </c>
    </row>
    <row r="4" spans="1:26" ht="12.75" customHeight="1">
      <c r="A4" s="239" t="s">
        <v>220</v>
      </c>
      <c r="B4" s="239" t="s">
        <v>319</v>
      </c>
      <c r="C4" s="276">
        <f>IF(CREDIT_FRA&lt;0.01,IF(Расчеты!B1-CREDIT_INT&gt;0.99,INDEX(Расчеты!$B$55:$Z$55,Расчеты!B1-CREDIT_INT),0),IF(Расчеты!B1-CREDIT_INT&gt;1.99,INDEX(Расчеты!$B$55:$Z$55,Расчеты!B1-CREDIT_INT-1)*CREDIT_FRA,0)+IF(Расчеты!B1-CREDIT_INT&gt;0.99,INDEX(Расчеты!$B$55:$Z$55,Расчеты!B1-CREDIT_INT)*(1-CREDIT_FRA),0))</f>
        <v>0</v>
      </c>
      <c r="D4" s="276">
        <f>IF(CREDIT_FRA&lt;0.01,IF(Расчеты!C1-CREDIT_INT&gt;0.99,INDEX(Расчеты!$B$55:$Z$55,Расчеты!C1-CREDIT_INT),0),IF(Расчеты!C1-CREDIT_INT&gt;1.99,INDEX(Расчеты!$B$55:$Z$55,Расчеты!C1-CREDIT_INT-1)*CREDIT_FRA,0)+IF(Расчеты!C1-CREDIT_INT&gt;0.99,INDEX(Расчеты!$B$55:$Z$55,Расчеты!C1-CREDIT_INT)*(1-CREDIT_FRA),0))</f>
        <v>0</v>
      </c>
      <c r="E4" s="276">
        <f>IF(CREDIT_FRA&lt;0.01,IF(Расчеты!D1-CREDIT_INT&gt;0.99,INDEX(Расчеты!$B$55:$Z$55,Расчеты!D1-CREDIT_INT),0),IF(Расчеты!D1-CREDIT_INT&gt;1.99,INDEX(Расчеты!$B$55:$Z$55,Расчеты!D1-CREDIT_INT-1)*CREDIT_FRA,0)+IF(Расчеты!D1-CREDIT_INT&gt;0.99,INDEX(Расчеты!$B$55:$Z$55,Расчеты!D1-CREDIT_INT)*(1-CREDIT_FRA),0))</f>
        <v>0</v>
      </c>
      <c r="F4" s="276">
        <f>IF(CREDIT_FRA&lt;0.01,IF(Расчеты!E1-CREDIT_INT&gt;0.99,INDEX(Расчеты!$B$55:$Z$55,Расчеты!E1-CREDIT_INT),0),IF(Расчеты!E1-CREDIT_INT&gt;1.99,INDEX(Расчеты!$B$55:$Z$55,Расчеты!E1-CREDIT_INT-1)*CREDIT_FRA,0)+IF(Расчеты!E1-CREDIT_INT&gt;0.99,INDEX(Расчеты!$B$55:$Z$55,Расчеты!E1-CREDIT_INT)*(1-CREDIT_FRA),0))</f>
        <v>0</v>
      </c>
      <c r="G4" s="276">
        <f>IF(CREDIT_FRA&lt;0.01,IF(Расчеты!F1-CREDIT_INT&gt;0.99,INDEX(Расчеты!$B$55:$Z$55,Расчеты!F1-CREDIT_INT),0),IF(Расчеты!F1-CREDIT_INT&gt;1.99,INDEX(Расчеты!$B$55:$Z$55,Расчеты!F1-CREDIT_INT-1)*CREDIT_FRA,0)+IF(Расчеты!F1-CREDIT_INT&gt;0.99,INDEX(Расчеты!$B$55:$Z$55,Расчеты!F1-CREDIT_INT)*(1-CREDIT_FRA),0))</f>
        <v>0</v>
      </c>
      <c r="H4" s="276">
        <f>IF(CREDIT_FRA&lt;0.01,IF(Расчеты!G1-CREDIT_INT&gt;0.99,INDEX(Расчеты!$B$55:$Z$55,Расчеты!G1-CREDIT_INT),0),IF(Расчеты!G1-CREDIT_INT&gt;1.99,INDEX(Расчеты!$B$55:$Z$55,Расчеты!G1-CREDIT_INT-1)*CREDIT_FRA,0)+IF(Расчеты!G1-CREDIT_INT&gt;0.99,INDEX(Расчеты!$B$55:$Z$55,Расчеты!G1-CREDIT_INT)*(1-CREDIT_FRA),0))</f>
        <v>0</v>
      </c>
      <c r="I4" s="276">
        <f>IF(CREDIT_FRA&lt;0.01,IF(Расчеты!H1-CREDIT_INT&gt;0.99,INDEX(Расчеты!$B$55:$Z$55,Расчеты!H1-CREDIT_INT),0),IF(Расчеты!H1-CREDIT_INT&gt;1.99,INDEX(Расчеты!$B$55:$Z$55,Расчеты!H1-CREDIT_INT-1)*CREDIT_FRA,0)+IF(Расчеты!H1-CREDIT_INT&gt;0.99,INDEX(Расчеты!$B$55:$Z$55,Расчеты!H1-CREDIT_INT)*(1-CREDIT_FRA),0))</f>
        <v>0</v>
      </c>
      <c r="J4" s="276">
        <f>IF(CREDIT_FRA&lt;0.01,IF(Расчеты!I1-CREDIT_INT&gt;0.99,INDEX(Расчеты!$B$55:$Z$55,Расчеты!I1-CREDIT_INT),0),IF(Расчеты!I1-CREDIT_INT&gt;1.99,INDEX(Расчеты!$B$55:$Z$55,Расчеты!I1-CREDIT_INT-1)*CREDIT_FRA,0)+IF(Расчеты!I1-CREDIT_INT&gt;0.99,INDEX(Расчеты!$B$55:$Z$55,Расчеты!I1-CREDIT_INT)*(1-CREDIT_FRA),0))</f>
        <v>0</v>
      </c>
      <c r="K4" s="276">
        <f>IF(CREDIT_FRA&lt;0.01,IF(Расчеты!J1-CREDIT_INT&gt;0.99,INDEX(Расчеты!$B$55:$Z$55,Расчеты!J1-CREDIT_INT),0),IF(Расчеты!J1-CREDIT_INT&gt;1.99,INDEX(Расчеты!$B$55:$Z$55,Расчеты!J1-CREDIT_INT-1)*CREDIT_FRA,0)+IF(Расчеты!J1-CREDIT_INT&gt;0.99,INDEX(Расчеты!$B$55:$Z$55,Расчеты!J1-CREDIT_INT)*(1-CREDIT_FRA),0))</f>
        <v>0</v>
      </c>
      <c r="L4" s="276">
        <f>IF(CREDIT_FRA&lt;0.01,IF(Расчеты!K1-CREDIT_INT&gt;0.99,INDEX(Расчеты!$B$55:$Z$55,Расчеты!K1-CREDIT_INT),0),IF(Расчеты!K1-CREDIT_INT&gt;1.99,INDEX(Расчеты!$B$55:$Z$55,Расчеты!K1-CREDIT_INT-1)*CREDIT_FRA,0)+IF(Расчеты!K1-CREDIT_INT&gt;0.99,INDEX(Расчеты!$B$55:$Z$55,Расчеты!K1-CREDIT_INT)*(1-CREDIT_FRA),0))</f>
        <v>0</v>
      </c>
      <c r="M4" s="276">
        <f>IF(CREDIT_FRA&lt;0.01,IF(Расчеты!L1-CREDIT_INT&gt;0.99,INDEX(Расчеты!$B$55:$Z$55,Расчеты!L1-CREDIT_INT),0),IF(Расчеты!L1-CREDIT_INT&gt;1.99,INDEX(Расчеты!$B$55:$Z$55,Расчеты!L1-CREDIT_INT-1)*CREDIT_FRA,0)+IF(Расчеты!L1-CREDIT_INT&gt;0.99,INDEX(Расчеты!$B$55:$Z$55,Расчеты!L1-CREDIT_INT)*(1-CREDIT_FRA),0))</f>
        <v>0</v>
      </c>
      <c r="N4" s="276">
        <f>IF(CREDIT_FRA&lt;0.01,IF(Расчеты!M1-CREDIT_INT&gt;0.99,INDEX(Расчеты!$B$55:$Z$55,Расчеты!M1-CREDIT_INT),0),IF(Расчеты!M1-CREDIT_INT&gt;1.99,INDEX(Расчеты!$B$55:$Z$55,Расчеты!M1-CREDIT_INT-1)*CREDIT_FRA,0)+IF(Расчеты!M1-CREDIT_INT&gt;0.99,INDEX(Расчеты!$B$55:$Z$55,Расчеты!M1-CREDIT_INT)*(1-CREDIT_FRA),0))</f>
        <v>0</v>
      </c>
      <c r="O4" s="276">
        <f>IF(CREDIT_FRA&lt;0.01,IF(Расчеты!N1-CREDIT_INT&gt;0.99,INDEX(Расчеты!$B$55:$Z$55,Расчеты!N1-CREDIT_INT),0),IF(Расчеты!N1-CREDIT_INT&gt;1.99,INDEX(Расчеты!$B$55:$Z$55,Расчеты!N1-CREDIT_INT-1)*CREDIT_FRA,0)+IF(Расчеты!N1-CREDIT_INT&gt;0.99,INDEX(Расчеты!$B$55:$Z$55,Расчеты!N1-CREDIT_INT)*(1-CREDIT_FRA),0))</f>
        <v>0</v>
      </c>
      <c r="P4" s="276">
        <f>IF(CREDIT_FRA&lt;0.01,IF(Расчеты!O1-CREDIT_INT&gt;0.99,INDEX(Расчеты!$B$55:$Z$55,Расчеты!O1-CREDIT_INT),0),IF(Расчеты!O1-CREDIT_INT&gt;1.99,INDEX(Расчеты!$B$55:$Z$55,Расчеты!O1-CREDIT_INT-1)*CREDIT_FRA,0)+IF(Расчеты!O1-CREDIT_INT&gt;0.99,INDEX(Расчеты!$B$55:$Z$55,Расчеты!O1-CREDIT_INT)*(1-CREDIT_FRA),0))</f>
        <v>0</v>
      </c>
      <c r="Q4" s="276">
        <f>IF(CREDIT_FRA&lt;0.01,IF(Расчеты!P1-CREDIT_INT&gt;0.99,INDEX(Расчеты!$B$55:$Z$55,Расчеты!P1-CREDIT_INT),0),IF(Расчеты!P1-CREDIT_INT&gt;1.99,INDEX(Расчеты!$B$55:$Z$55,Расчеты!P1-CREDIT_INT-1)*CREDIT_FRA,0)+IF(Расчеты!P1-CREDIT_INT&gt;0.99,INDEX(Расчеты!$B$55:$Z$55,Расчеты!P1-CREDIT_INT)*(1-CREDIT_FRA),0))</f>
        <v>0</v>
      </c>
      <c r="R4" s="276">
        <f>IF(CREDIT_FRA&lt;0.01,IF(Расчеты!Q1-CREDIT_INT&gt;0.99,INDEX(Расчеты!$B$55:$Z$55,Расчеты!Q1-CREDIT_INT),0),IF(Расчеты!Q1-CREDIT_INT&gt;1.99,INDEX(Расчеты!$B$55:$Z$55,Расчеты!Q1-CREDIT_INT-1)*CREDIT_FRA,0)+IF(Расчеты!Q1-CREDIT_INT&gt;0.99,INDEX(Расчеты!$B$55:$Z$55,Расчеты!Q1-CREDIT_INT)*(1-CREDIT_FRA),0))</f>
        <v>0</v>
      </c>
      <c r="S4" s="276">
        <f>IF(CREDIT_FRA&lt;0.01,IF(Расчеты!R1-CREDIT_INT&gt;0.99,INDEX(Расчеты!$B$55:$Z$55,Расчеты!R1-CREDIT_INT),0),IF(Расчеты!R1-CREDIT_INT&gt;1.99,INDEX(Расчеты!$B$55:$Z$55,Расчеты!R1-CREDIT_INT-1)*CREDIT_FRA,0)+IF(Расчеты!R1-CREDIT_INT&gt;0.99,INDEX(Расчеты!$B$55:$Z$55,Расчеты!R1-CREDIT_INT)*(1-CREDIT_FRA),0))</f>
        <v>0</v>
      </c>
      <c r="T4" s="276">
        <f>IF(CREDIT_FRA&lt;0.01,IF(Расчеты!S1-CREDIT_INT&gt;0.99,INDEX(Расчеты!$B$55:$Z$55,Расчеты!S1-CREDIT_INT),0),IF(Расчеты!S1-CREDIT_INT&gt;1.99,INDEX(Расчеты!$B$55:$Z$55,Расчеты!S1-CREDIT_INT-1)*CREDIT_FRA,0)+IF(Расчеты!S1-CREDIT_INT&gt;0.99,INDEX(Расчеты!$B$55:$Z$55,Расчеты!S1-CREDIT_INT)*(1-CREDIT_FRA),0))</f>
        <v>0</v>
      </c>
      <c r="U4" s="276">
        <f>IF(CREDIT_FRA&lt;0.01,IF(Расчеты!T1-CREDIT_INT&gt;0.99,INDEX(Расчеты!$B$55:$Z$55,Расчеты!T1-CREDIT_INT),0),IF(Расчеты!T1-CREDIT_INT&gt;1.99,INDEX(Расчеты!$B$55:$Z$55,Расчеты!T1-CREDIT_INT-1)*CREDIT_FRA,0)+IF(Расчеты!T1-CREDIT_INT&gt;0.99,INDEX(Расчеты!$B$55:$Z$55,Расчеты!T1-CREDIT_INT)*(1-CREDIT_FRA),0))</f>
        <v>0</v>
      </c>
      <c r="V4" s="276">
        <f>IF(CREDIT_FRA&lt;0.01,IF(Расчеты!U1-CREDIT_INT&gt;0.99,INDEX(Расчеты!$B$55:$Z$55,Расчеты!U1-CREDIT_INT),0),IF(Расчеты!U1-CREDIT_INT&gt;1.99,INDEX(Расчеты!$B$55:$Z$55,Расчеты!U1-CREDIT_INT-1)*CREDIT_FRA,0)+IF(Расчеты!U1-CREDIT_INT&gt;0.99,INDEX(Расчеты!$B$55:$Z$55,Расчеты!U1-CREDIT_INT)*(1-CREDIT_FRA),0))</f>
        <v>0</v>
      </c>
      <c r="W4" s="276">
        <f>IF(CREDIT_FRA&lt;0.01,IF(Расчеты!V1-CREDIT_INT&gt;0.99,INDEX(Расчеты!$B$55:$Z$55,Расчеты!V1-CREDIT_INT),0),IF(Расчеты!V1-CREDIT_INT&gt;1.99,INDEX(Расчеты!$B$55:$Z$55,Расчеты!V1-CREDIT_INT-1)*CREDIT_FRA,0)+IF(Расчеты!V1-CREDIT_INT&gt;0.99,INDEX(Расчеты!$B$55:$Z$55,Расчеты!V1-CREDIT_INT)*(1-CREDIT_FRA),0))</f>
        <v>0</v>
      </c>
      <c r="X4" s="276">
        <f>IF(CREDIT_FRA&lt;0.01,IF(Расчеты!W1-CREDIT_INT&gt;0.99,INDEX(Расчеты!$B$55:$Z$55,Расчеты!W1-CREDIT_INT),0),IF(Расчеты!W1-CREDIT_INT&gt;1.99,INDEX(Расчеты!$B$55:$Z$55,Расчеты!W1-CREDIT_INT-1)*CREDIT_FRA,0)+IF(Расчеты!W1-CREDIT_INT&gt;0.99,INDEX(Расчеты!$B$55:$Z$55,Расчеты!W1-CREDIT_INT)*(1-CREDIT_FRA),0))</f>
        <v>0</v>
      </c>
      <c r="Y4" s="276">
        <f>IF(CREDIT_FRA&lt;0.01,IF(Расчеты!X1-CREDIT_INT&gt;0.99,INDEX(Расчеты!$B$55:$Z$55,Расчеты!X1-CREDIT_INT),0),IF(Расчеты!X1-CREDIT_INT&gt;1.99,INDEX(Расчеты!$B$55:$Z$55,Расчеты!X1-CREDIT_INT-1)*CREDIT_FRA,0)+IF(Расчеты!X1-CREDIT_INT&gt;0.99,INDEX(Расчеты!$B$55:$Z$55,Расчеты!X1-CREDIT_INT)*(1-CREDIT_FRA),0))</f>
        <v>0</v>
      </c>
      <c r="Z4" s="276">
        <f>IF(CREDIT_FRA&lt;0.01,IF(Расчеты!Y1-CREDIT_INT&gt;0.99,INDEX(Расчеты!$B$55:$Z$55,Расчеты!Y1-CREDIT_INT),0),IF(Расчеты!Y1-CREDIT_INT&gt;1.99,INDEX(Расчеты!$B$55:$Z$55,Расчеты!Y1-CREDIT_INT-1)*CREDIT_FRA,0)+IF(Расчеты!Y1-CREDIT_INT&gt;0.99,INDEX(Расчеты!$B$55:$Z$55,Расчеты!Y1-CREDIT_INT)*(1-CREDIT_FRA),0))</f>
        <v>0</v>
      </c>
    </row>
    <row r="5" spans="1:26" ht="12.75" customHeight="1">
      <c r="A5" s="239" t="s">
        <v>221</v>
      </c>
      <c r="B5" s="239" t="s">
        <v>320</v>
      </c>
      <c r="C5" s="276">
        <f>Прибыль!C13*(1+VAT)</f>
        <v>0</v>
      </c>
      <c r="D5" s="276">
        <f>Прибыль!D13*(1+VAT)</f>
        <v>0</v>
      </c>
      <c r="E5" s="276">
        <f>Прибыль!E13*(1+VAT)</f>
        <v>30000</v>
      </c>
      <c r="F5" s="276">
        <f>Прибыль!F13*(1+VAT)</f>
        <v>106000</v>
      </c>
      <c r="G5" s="276">
        <f>Прибыль!G13*(1+VAT)</f>
        <v>164000</v>
      </c>
      <c r="H5" s="276">
        <f>Прибыль!H13*(1+VAT)</f>
        <v>174000</v>
      </c>
      <c r="I5" s="276">
        <f>Прибыль!I13*(1+VAT)</f>
        <v>0</v>
      </c>
      <c r="J5" s="276">
        <f>Прибыль!J13*(1+VAT)</f>
        <v>0</v>
      </c>
      <c r="K5" s="276">
        <f>Прибыль!K13*(1+VAT)</f>
        <v>0</v>
      </c>
      <c r="L5" s="276">
        <f>Прибыль!L13*(1+VAT)</f>
        <v>0</v>
      </c>
      <c r="M5" s="276">
        <f>Прибыль!M13*(1+VAT)</f>
        <v>0</v>
      </c>
      <c r="N5" s="276">
        <f>Прибыль!N13*(1+VAT)</f>
        <v>0</v>
      </c>
      <c r="O5" s="276">
        <f>Прибыль!O13*(1+VAT)</f>
        <v>200000</v>
      </c>
      <c r="P5" s="276">
        <f>Прибыль!P13*(1+VAT)</f>
        <v>200000</v>
      </c>
      <c r="Q5" s="276">
        <f>Прибыль!Q13*(1+VAT)</f>
        <v>200000</v>
      </c>
      <c r="R5" s="276">
        <f>Прибыль!R13*(1+VAT)</f>
        <v>200000</v>
      </c>
      <c r="S5" s="276">
        <f>Прибыль!S13*(1+VAT)</f>
        <v>200000</v>
      </c>
      <c r="T5" s="276">
        <f>Прибыль!T13*(1+VAT)</f>
        <v>200000</v>
      </c>
      <c r="U5" s="276">
        <f>Прибыль!U13*(1+VAT)</f>
        <v>200000</v>
      </c>
      <c r="V5" s="276">
        <f>Прибыль!V13*(1+VAT)</f>
        <v>200000</v>
      </c>
      <c r="W5" s="276">
        <f>Прибыль!W13*(1+VAT)</f>
        <v>200000</v>
      </c>
      <c r="X5" s="276">
        <f>Прибыль!X13*(1+VAT)</f>
        <v>200000</v>
      </c>
      <c r="Y5" s="276">
        <f>Прибыль!Y13*(1+VAT)</f>
        <v>200000</v>
      </c>
      <c r="Z5" s="276">
        <f>Прибыль!Z13*(1+VAT)</f>
        <v>200000</v>
      </c>
    </row>
    <row r="6" spans="1:26" ht="12.75" customHeight="1">
      <c r="A6" s="239" t="s">
        <v>223</v>
      </c>
      <c r="B6" s="239" t="s">
        <v>321</v>
      </c>
      <c r="C6" s="276">
        <f>Прибыль!C5+Прибыль!C9</f>
        <v>150000</v>
      </c>
      <c r="D6" s="276">
        <f>Прибыль!D5+Прибыль!D9</f>
        <v>150000</v>
      </c>
      <c r="E6" s="276">
        <f>Прибыль!E5+Прибыль!E9</f>
        <v>150000</v>
      </c>
      <c r="F6" s="276">
        <f>Прибыль!F5+Прибыль!F9</f>
        <v>150000</v>
      </c>
      <c r="G6" s="276">
        <f>Прибыль!G5+Прибыль!G9</f>
        <v>150000</v>
      </c>
      <c r="H6" s="276">
        <f>Прибыль!H5+Прибыль!H9</f>
        <v>150000</v>
      </c>
      <c r="I6" s="276">
        <f>Прибыль!I5+Прибыль!I9</f>
        <v>0</v>
      </c>
      <c r="J6" s="276">
        <f>Прибыль!J5+Прибыль!J9</f>
        <v>0</v>
      </c>
      <c r="K6" s="276">
        <f>Прибыль!K5+Прибыль!K9</f>
        <v>0</v>
      </c>
      <c r="L6" s="276">
        <f>Прибыль!L5+Прибыль!L9</f>
        <v>0</v>
      </c>
      <c r="M6" s="276">
        <f>Прибыль!M5+Прибыль!M9</f>
        <v>0</v>
      </c>
      <c r="N6" s="276">
        <f>Прибыль!N5+Прибыль!N9</f>
        <v>0</v>
      </c>
      <c r="O6" s="276">
        <f>Прибыль!O5+Прибыль!O9</f>
        <v>0</v>
      </c>
      <c r="P6" s="276">
        <f>Прибыль!P5+Прибыль!P9</f>
        <v>0</v>
      </c>
      <c r="Q6" s="276">
        <f>Прибыль!Q5+Прибыль!Q9</f>
        <v>0</v>
      </c>
      <c r="R6" s="276">
        <f>Прибыль!R5+Прибыль!R9</f>
        <v>0</v>
      </c>
      <c r="S6" s="276">
        <f>Прибыль!S5+Прибыль!S9</f>
        <v>0</v>
      </c>
      <c r="T6" s="276">
        <f>Прибыль!T5+Прибыль!T9</f>
        <v>0</v>
      </c>
      <c r="U6" s="276">
        <f>Прибыль!U5+Прибыль!U9</f>
        <v>0</v>
      </c>
      <c r="V6" s="276">
        <f>Прибыль!V5+Прибыль!V9</f>
        <v>0</v>
      </c>
      <c r="W6" s="276">
        <f>Прибыль!W5+Прибыль!W9</f>
        <v>0</v>
      </c>
      <c r="X6" s="276">
        <f>Прибыль!X5+Прибыль!X9</f>
        <v>0</v>
      </c>
      <c r="Y6" s="276">
        <f>Прибыль!Y5+Прибыль!Y9</f>
        <v>0</v>
      </c>
      <c r="Z6" s="276">
        <f>Прибыль!Z5+Прибыль!Z9</f>
        <v>0</v>
      </c>
    </row>
    <row r="7" spans="1:26" ht="12.75" customHeight="1">
      <c r="A7" s="239" t="s">
        <v>17</v>
      </c>
      <c r="B7" s="239" t="s">
        <v>322</v>
      </c>
      <c r="C7" s="276">
        <f>Расчеты!B50+Прибыль!C27+Прибыль!C6+Прибыль!C8</f>
        <v>0</v>
      </c>
      <c r="D7" s="276">
        <f>Расчеты!C50+Прибыль!D27+Прибыль!D6+Прибыль!D8</f>
        <v>0</v>
      </c>
      <c r="E7" s="276">
        <f>Расчеты!D50+Прибыль!E27+Прибыль!E6+Прибыль!E8</f>
        <v>0</v>
      </c>
      <c r="F7" s="276">
        <f>Расчеты!E50+Прибыль!F27+Прибыль!F6+Прибыль!F8</f>
        <v>0</v>
      </c>
      <c r="G7" s="276">
        <f>Расчеты!F50+Прибыль!G27+Прибыль!G6+Прибыль!G8</f>
        <v>0</v>
      </c>
      <c r="H7" s="276">
        <f>Расчеты!G50+Прибыль!H27+Прибыль!H6+Прибыль!H8</f>
        <v>0</v>
      </c>
      <c r="I7" s="276">
        <f>Расчеты!H50+Прибыль!I27+Прибыль!I6+Прибыль!I8</f>
        <v>0</v>
      </c>
      <c r="J7" s="276">
        <f>Расчеты!I50+Прибыль!J27+Прибыль!J6+Прибыль!J8</f>
        <v>0</v>
      </c>
      <c r="K7" s="276">
        <f>Расчеты!J50+Прибыль!K27+Прибыль!K6+Прибыль!K8</f>
        <v>0</v>
      </c>
      <c r="L7" s="276">
        <f>Расчеты!K50+Прибыль!L27+Прибыль!L6+Прибыль!L8</f>
        <v>0</v>
      </c>
      <c r="M7" s="276">
        <f>Расчеты!L50+Прибыль!M27+Прибыль!M6+Прибыль!M8</f>
        <v>0</v>
      </c>
      <c r="N7" s="276">
        <f>Расчеты!M50+Прибыль!N27+Прибыль!N6+Прибыль!N8</f>
        <v>0</v>
      </c>
      <c r="O7" s="276">
        <f>Расчеты!N50+Прибыль!O27+Прибыль!O6+Прибыль!O8</f>
        <v>0</v>
      </c>
      <c r="P7" s="276">
        <f>Расчеты!O50+Прибыль!P27+Прибыль!P6+Прибыль!P8</f>
        <v>0</v>
      </c>
      <c r="Q7" s="276">
        <f>Расчеты!P50+Прибыль!Q27+Прибыль!Q6+Прибыль!Q8</f>
        <v>0</v>
      </c>
      <c r="R7" s="276">
        <f>Расчеты!Q50+Прибыль!R27+Прибыль!R6+Прибыль!R8</f>
        <v>0</v>
      </c>
      <c r="S7" s="276">
        <f>Расчеты!R50+Прибыль!S27+Прибыль!S6+Прибыль!S8</f>
        <v>0</v>
      </c>
      <c r="T7" s="276">
        <f>Расчеты!S50+Прибыль!T27+Прибыль!T6+Прибыль!T8</f>
        <v>0</v>
      </c>
      <c r="U7" s="276">
        <f>Расчеты!T50+Прибыль!U27+Прибыль!U6+Прибыль!U8</f>
        <v>0</v>
      </c>
      <c r="V7" s="276">
        <f>Расчеты!U50+Прибыль!V27+Прибыль!V6+Прибыль!V8</f>
        <v>0</v>
      </c>
      <c r="W7" s="276">
        <f>Расчеты!V50+Прибыль!W27+Прибыль!W6+Прибыль!W8</f>
        <v>0</v>
      </c>
      <c r="X7" s="276">
        <f>Расчеты!W50+Прибыль!X27+Прибыль!X6+Прибыль!X8</f>
        <v>0</v>
      </c>
      <c r="Y7" s="276">
        <f>Расчеты!X50+Прибыль!Y27+Прибыль!Y6+Прибыль!Y8</f>
        <v>0</v>
      </c>
      <c r="Z7" s="276">
        <f>Расчеты!Y50+Прибыль!Z27+Прибыль!Z6+Прибыль!Z8</f>
        <v>0</v>
      </c>
    </row>
    <row r="8" spans="1:26" ht="12.75" customHeight="1">
      <c r="A8" s="73" t="s">
        <v>249</v>
      </c>
      <c r="B8" s="73" t="s">
        <v>323</v>
      </c>
      <c r="C8" s="270">
        <f>C3-C4-C5-C6-C7</f>
        <v>-150000</v>
      </c>
      <c r="D8" s="270">
        <f t="shared" ref="D8:N8" si="0">D3-D4-D5-D6-D7</f>
        <v>-150000</v>
      </c>
      <c r="E8" s="270">
        <f t="shared" si="0"/>
        <v>-180000</v>
      </c>
      <c r="F8" s="270">
        <f t="shared" si="0"/>
        <v>44000</v>
      </c>
      <c r="G8" s="270">
        <f t="shared" si="0"/>
        <v>386000</v>
      </c>
      <c r="H8" s="270">
        <f t="shared" si="0"/>
        <v>876000</v>
      </c>
      <c r="I8" s="270">
        <f t="shared" si="0"/>
        <v>0</v>
      </c>
      <c r="J8" s="270">
        <f t="shared" si="0"/>
        <v>0</v>
      </c>
      <c r="K8" s="270">
        <f t="shared" si="0"/>
        <v>0</v>
      </c>
      <c r="L8" s="270">
        <f t="shared" si="0"/>
        <v>0</v>
      </c>
      <c r="M8" s="270">
        <f t="shared" si="0"/>
        <v>0</v>
      </c>
      <c r="N8" s="270">
        <f t="shared" si="0"/>
        <v>0</v>
      </c>
      <c r="O8" s="270">
        <f t="shared" ref="O8:Z8" si="1">O3-O4-O5-O6-O7</f>
        <v>-200000</v>
      </c>
      <c r="P8" s="270">
        <f t="shared" si="1"/>
        <v>-200000</v>
      </c>
      <c r="Q8" s="270">
        <f t="shared" si="1"/>
        <v>-200000</v>
      </c>
      <c r="R8" s="270">
        <f t="shared" si="1"/>
        <v>-200000</v>
      </c>
      <c r="S8" s="270">
        <f t="shared" si="1"/>
        <v>-200000</v>
      </c>
      <c r="T8" s="270">
        <f t="shared" si="1"/>
        <v>-200000</v>
      </c>
      <c r="U8" s="270">
        <f t="shared" si="1"/>
        <v>-200000</v>
      </c>
      <c r="V8" s="270">
        <f t="shared" si="1"/>
        <v>-200000</v>
      </c>
      <c r="W8" s="270">
        <f t="shared" si="1"/>
        <v>-200000</v>
      </c>
      <c r="X8" s="270">
        <f t="shared" si="1"/>
        <v>-200000</v>
      </c>
      <c r="Y8" s="270">
        <f t="shared" si="1"/>
        <v>-200000</v>
      </c>
      <c r="Z8" s="270">
        <f t="shared" si="1"/>
        <v>-200000</v>
      </c>
    </row>
    <row r="9" spans="1:26" ht="12.75" customHeight="1">
      <c r="A9" s="71"/>
      <c r="B9" s="71"/>
      <c r="C9" s="271"/>
      <c r="D9" s="271"/>
      <c r="E9" s="271"/>
      <c r="F9" s="271"/>
      <c r="G9" s="271"/>
      <c r="H9" s="271"/>
      <c r="I9" s="271"/>
      <c r="J9" s="271"/>
      <c r="K9" s="271"/>
      <c r="L9" s="271"/>
      <c r="M9" s="271"/>
      <c r="N9" s="271"/>
      <c r="O9" s="271"/>
      <c r="P9" s="271"/>
      <c r="Q9" s="271"/>
      <c r="R9" s="271"/>
      <c r="S9" s="271"/>
      <c r="T9" s="271"/>
      <c r="U9" s="271"/>
      <c r="V9" s="271"/>
      <c r="W9" s="271"/>
      <c r="X9" s="271"/>
      <c r="Y9" s="271"/>
      <c r="Z9" s="271"/>
    </row>
    <row r="10" spans="1:26" ht="12.75" customHeight="1">
      <c r="A10" s="71" t="s">
        <v>59</v>
      </c>
      <c r="B10" s="71" t="s">
        <v>324</v>
      </c>
      <c r="C10" s="271">
        <f>Данные!C208</f>
        <v>0</v>
      </c>
      <c r="D10" s="271">
        <f>Данные!D208</f>
        <v>0</v>
      </c>
      <c r="E10" s="271">
        <f>Данные!E208</f>
        <v>0</v>
      </c>
      <c r="F10" s="271">
        <f>Данные!F208</f>
        <v>0</v>
      </c>
      <c r="G10" s="271">
        <f>Данные!G208</f>
        <v>0</v>
      </c>
      <c r="H10" s="271">
        <f>Данные!H208</f>
        <v>0</v>
      </c>
      <c r="I10" s="271">
        <f>Данные!I208</f>
        <v>0</v>
      </c>
      <c r="J10" s="271">
        <f>Данные!J208</f>
        <v>0</v>
      </c>
      <c r="K10" s="271">
        <f>Данные!K208</f>
        <v>0</v>
      </c>
      <c r="L10" s="271">
        <f>Данные!L208</f>
        <v>0</v>
      </c>
      <c r="M10" s="271">
        <f>Данные!M208</f>
        <v>0</v>
      </c>
      <c r="N10" s="271">
        <f>Данные!N208</f>
        <v>0</v>
      </c>
      <c r="O10" s="271">
        <f>Данные!O208</f>
        <v>0</v>
      </c>
      <c r="P10" s="271">
        <f>Данные!P208</f>
        <v>0</v>
      </c>
      <c r="Q10" s="271">
        <f>Данные!Q208</f>
        <v>0</v>
      </c>
      <c r="R10" s="271">
        <f>Данные!R208</f>
        <v>0</v>
      </c>
      <c r="S10" s="271">
        <f>Данные!S208</f>
        <v>0</v>
      </c>
      <c r="T10" s="271">
        <f>Данные!T208</f>
        <v>0</v>
      </c>
      <c r="U10" s="271">
        <f>Данные!U208</f>
        <v>0</v>
      </c>
      <c r="V10" s="271">
        <f>Данные!V208</f>
        <v>0</v>
      </c>
      <c r="W10" s="271">
        <f>Данные!W208</f>
        <v>0</v>
      </c>
      <c r="X10" s="271">
        <f>Данные!X208</f>
        <v>0</v>
      </c>
      <c r="Y10" s="271">
        <f>Данные!Y208</f>
        <v>0</v>
      </c>
      <c r="Z10" s="271">
        <f>Данные!Z208</f>
        <v>0</v>
      </c>
    </row>
    <row r="11" spans="1:26" ht="12.75" customHeight="1">
      <c r="A11" s="71" t="s">
        <v>66</v>
      </c>
      <c r="B11" s="71" t="s">
        <v>337</v>
      </c>
      <c r="C11" s="271">
        <f>Данные!C215</f>
        <v>0</v>
      </c>
      <c r="D11" s="271">
        <f>Данные!D215</f>
        <v>0</v>
      </c>
      <c r="E11" s="271">
        <f>Данные!E215</f>
        <v>0</v>
      </c>
      <c r="F11" s="271">
        <f>Данные!F215</f>
        <v>0</v>
      </c>
      <c r="G11" s="271">
        <f>Данные!G215</f>
        <v>0</v>
      </c>
      <c r="H11" s="271">
        <f>Данные!H215</f>
        <v>0</v>
      </c>
      <c r="I11" s="271">
        <f>Данные!I215</f>
        <v>0</v>
      </c>
      <c r="J11" s="271">
        <f>Данные!J215</f>
        <v>0</v>
      </c>
      <c r="K11" s="271">
        <f>Данные!K215</f>
        <v>0</v>
      </c>
      <c r="L11" s="271">
        <f>Данные!L215</f>
        <v>0</v>
      </c>
      <c r="M11" s="271">
        <f>Данные!M215</f>
        <v>0</v>
      </c>
      <c r="N11" s="271">
        <f>Данные!N215</f>
        <v>0</v>
      </c>
      <c r="O11" s="271">
        <f>Данные!O215</f>
        <v>0</v>
      </c>
      <c r="P11" s="271">
        <f>Данные!P215</f>
        <v>0</v>
      </c>
      <c r="Q11" s="271">
        <f>Данные!Q215</f>
        <v>0</v>
      </c>
      <c r="R11" s="271">
        <f>Данные!R215</f>
        <v>0</v>
      </c>
      <c r="S11" s="271">
        <f>Данные!S215</f>
        <v>0</v>
      </c>
      <c r="T11" s="271">
        <f>Данные!T215</f>
        <v>0</v>
      </c>
      <c r="U11" s="271">
        <f>Данные!U215</f>
        <v>0</v>
      </c>
      <c r="V11" s="271">
        <f>Данные!V215</f>
        <v>0</v>
      </c>
      <c r="W11" s="271">
        <f>Данные!W215</f>
        <v>0</v>
      </c>
      <c r="X11" s="271">
        <f>Данные!X215</f>
        <v>0</v>
      </c>
      <c r="Y11" s="271">
        <f>Данные!Y215</f>
        <v>0</v>
      </c>
      <c r="Z11" s="271">
        <f>Данные!Z215</f>
        <v>0</v>
      </c>
    </row>
    <row r="12" spans="1:26" ht="12.75" customHeight="1">
      <c r="A12" s="71" t="s">
        <v>70</v>
      </c>
      <c r="B12" s="71" t="s">
        <v>325</v>
      </c>
      <c r="C12" s="271">
        <f>Данные!C218</f>
        <v>200000</v>
      </c>
      <c r="D12" s="271">
        <f>Данные!D218</f>
        <v>190000</v>
      </c>
      <c r="E12" s="271">
        <f>Данные!E218</f>
        <v>160000</v>
      </c>
      <c r="F12" s="271">
        <f>Данные!F218</f>
        <v>0</v>
      </c>
      <c r="G12" s="271">
        <f>Данные!G218</f>
        <v>0</v>
      </c>
      <c r="H12" s="271">
        <f>Данные!H218</f>
        <v>0</v>
      </c>
      <c r="I12" s="271">
        <f>Данные!I218</f>
        <v>0</v>
      </c>
      <c r="J12" s="271">
        <f>Данные!J218</f>
        <v>0</v>
      </c>
      <c r="K12" s="271">
        <f>Данные!K218</f>
        <v>0</v>
      </c>
      <c r="L12" s="271">
        <f>Данные!L218</f>
        <v>0</v>
      </c>
      <c r="M12" s="271">
        <f>Данные!M218</f>
        <v>0</v>
      </c>
      <c r="N12" s="271">
        <f>Данные!N218</f>
        <v>0</v>
      </c>
      <c r="O12" s="271">
        <f>Данные!O218</f>
        <v>0</v>
      </c>
      <c r="P12" s="271">
        <f>Данные!P218</f>
        <v>0</v>
      </c>
      <c r="Q12" s="271">
        <f>Данные!Q218</f>
        <v>0</v>
      </c>
      <c r="R12" s="271">
        <f>Данные!R218</f>
        <v>0</v>
      </c>
      <c r="S12" s="271">
        <f>Данные!S218</f>
        <v>0</v>
      </c>
      <c r="T12" s="271">
        <f>Данные!T218</f>
        <v>0</v>
      </c>
      <c r="U12" s="271">
        <f>Данные!U218</f>
        <v>0</v>
      </c>
      <c r="V12" s="271">
        <f>Данные!V218</f>
        <v>0</v>
      </c>
      <c r="W12" s="271">
        <f>Данные!W218</f>
        <v>0</v>
      </c>
      <c r="X12" s="271">
        <f>Данные!X218</f>
        <v>0</v>
      </c>
      <c r="Y12" s="271">
        <f>Данные!Y218</f>
        <v>0</v>
      </c>
      <c r="Z12" s="271">
        <f>Данные!Z218</f>
        <v>0</v>
      </c>
    </row>
    <row r="13" spans="1:26" ht="12.75" customHeight="1">
      <c r="A13" s="73" t="s">
        <v>250</v>
      </c>
      <c r="B13" s="73" t="s">
        <v>326</v>
      </c>
      <c r="C13" s="270">
        <f>-C10-C11-C12</f>
        <v>-200000</v>
      </c>
      <c r="D13" s="270">
        <f t="shared" ref="D13:N13" si="2">-D10-D11-D12</f>
        <v>-190000</v>
      </c>
      <c r="E13" s="270">
        <f t="shared" si="2"/>
        <v>-160000</v>
      </c>
      <c r="F13" s="270">
        <f t="shared" si="2"/>
        <v>0</v>
      </c>
      <c r="G13" s="270">
        <f t="shared" si="2"/>
        <v>0</v>
      </c>
      <c r="H13" s="270">
        <f t="shared" si="2"/>
        <v>0</v>
      </c>
      <c r="I13" s="270">
        <f t="shared" si="2"/>
        <v>0</v>
      </c>
      <c r="J13" s="270">
        <f t="shared" si="2"/>
        <v>0</v>
      </c>
      <c r="K13" s="270">
        <f t="shared" si="2"/>
        <v>0</v>
      </c>
      <c r="L13" s="270">
        <f t="shared" si="2"/>
        <v>0</v>
      </c>
      <c r="M13" s="270">
        <f t="shared" si="2"/>
        <v>0</v>
      </c>
      <c r="N13" s="270">
        <f t="shared" si="2"/>
        <v>0</v>
      </c>
      <c r="O13" s="270">
        <f t="shared" ref="O13:Z13" si="3">-O10-O11-O12</f>
        <v>0</v>
      </c>
      <c r="P13" s="270">
        <f t="shared" si="3"/>
        <v>0</v>
      </c>
      <c r="Q13" s="270">
        <f t="shared" si="3"/>
        <v>0</v>
      </c>
      <c r="R13" s="270">
        <f t="shared" si="3"/>
        <v>0</v>
      </c>
      <c r="S13" s="270">
        <f t="shared" si="3"/>
        <v>0</v>
      </c>
      <c r="T13" s="270">
        <f t="shared" si="3"/>
        <v>0</v>
      </c>
      <c r="U13" s="270">
        <f t="shared" si="3"/>
        <v>0</v>
      </c>
      <c r="V13" s="270">
        <f t="shared" si="3"/>
        <v>0</v>
      </c>
      <c r="W13" s="270">
        <f t="shared" si="3"/>
        <v>0</v>
      </c>
      <c r="X13" s="270">
        <f t="shared" si="3"/>
        <v>0</v>
      </c>
      <c r="Y13" s="270">
        <f t="shared" si="3"/>
        <v>0</v>
      </c>
      <c r="Z13" s="270">
        <f t="shared" si="3"/>
        <v>0</v>
      </c>
    </row>
    <row r="14" spans="1:26" ht="12.75" customHeight="1">
      <c r="A14" s="71"/>
      <c r="B14" s="71"/>
      <c r="C14" s="271"/>
      <c r="D14" s="271"/>
      <c r="E14" s="271"/>
      <c r="F14" s="271"/>
      <c r="G14" s="271"/>
      <c r="H14" s="271"/>
      <c r="I14" s="271"/>
      <c r="J14" s="271"/>
      <c r="K14" s="271"/>
      <c r="L14" s="271"/>
      <c r="M14" s="271"/>
      <c r="N14" s="271"/>
      <c r="O14" s="271"/>
      <c r="P14" s="271"/>
      <c r="Q14" s="271"/>
      <c r="R14" s="271"/>
      <c r="S14" s="271"/>
      <c r="T14" s="271"/>
      <c r="U14" s="271"/>
      <c r="V14" s="271"/>
      <c r="W14" s="271"/>
      <c r="X14" s="271"/>
      <c r="Y14" s="271"/>
      <c r="Z14" s="271"/>
    </row>
    <row r="15" spans="1:26" ht="12.75" customHeight="1">
      <c r="A15" s="71" t="s">
        <v>188</v>
      </c>
      <c r="B15" s="71" t="s">
        <v>327</v>
      </c>
      <c r="C15" s="271">
        <f>SUM(Данные!B250:B254)</f>
        <v>0</v>
      </c>
      <c r="D15" s="271">
        <f>0</f>
        <v>0</v>
      </c>
      <c r="E15" s="271">
        <f>0</f>
        <v>0</v>
      </c>
      <c r="F15" s="271">
        <f>0</f>
        <v>0</v>
      </c>
      <c r="G15" s="271">
        <f>0</f>
        <v>0</v>
      </c>
      <c r="H15" s="271">
        <f>0</f>
        <v>0</v>
      </c>
      <c r="I15" s="271">
        <f>0</f>
        <v>0</v>
      </c>
      <c r="J15" s="271">
        <f>0</f>
        <v>0</v>
      </c>
      <c r="K15" s="271">
        <f>0</f>
        <v>0</v>
      </c>
      <c r="L15" s="271">
        <f>0</f>
        <v>0</v>
      </c>
      <c r="M15" s="271">
        <f>0</f>
        <v>0</v>
      </c>
      <c r="N15" s="271">
        <f>0</f>
        <v>0</v>
      </c>
      <c r="O15" s="271">
        <f>0</f>
        <v>0</v>
      </c>
      <c r="P15" s="271">
        <f>0</f>
        <v>0</v>
      </c>
      <c r="Q15" s="271">
        <f>0</f>
        <v>0</v>
      </c>
      <c r="R15" s="271">
        <f>0</f>
        <v>0</v>
      </c>
      <c r="S15" s="271">
        <f>0</f>
        <v>0</v>
      </c>
      <c r="T15" s="271">
        <f>0</f>
        <v>0</v>
      </c>
      <c r="U15" s="271">
        <f>0</f>
        <v>0</v>
      </c>
      <c r="V15" s="271">
        <f>0</f>
        <v>0</v>
      </c>
      <c r="W15" s="271">
        <f>0</f>
        <v>0</v>
      </c>
      <c r="X15" s="271">
        <f>0</f>
        <v>0</v>
      </c>
      <c r="Y15" s="271">
        <f>0</f>
        <v>0</v>
      </c>
      <c r="Z15" s="271">
        <f>0</f>
        <v>0</v>
      </c>
    </row>
    <row r="16" spans="1:26" ht="12.75" customHeight="1">
      <c r="A16" s="71" t="s">
        <v>216</v>
      </c>
      <c r="B16" s="71" t="s">
        <v>328</v>
      </c>
      <c r="C16" s="271">
        <f>Данные!C245</f>
        <v>0</v>
      </c>
      <c r="D16" s="271">
        <f>Данные!D245</f>
        <v>0</v>
      </c>
      <c r="E16" s="271">
        <f>Данные!E245</f>
        <v>0</v>
      </c>
      <c r="F16" s="271">
        <f>Данные!F245</f>
        <v>0</v>
      </c>
      <c r="G16" s="271">
        <f>Данные!G245</f>
        <v>0</v>
      </c>
      <c r="H16" s="271">
        <f>Данные!H245</f>
        <v>0</v>
      </c>
      <c r="I16" s="271">
        <f>Данные!I245</f>
        <v>0</v>
      </c>
      <c r="J16" s="271">
        <f>Данные!J245</f>
        <v>0</v>
      </c>
      <c r="K16" s="271">
        <f>Данные!K245</f>
        <v>0</v>
      </c>
      <c r="L16" s="271">
        <f>Данные!L245</f>
        <v>0</v>
      </c>
      <c r="M16" s="271">
        <f>Данные!M245</f>
        <v>0</v>
      </c>
      <c r="N16" s="271">
        <f>Данные!N245</f>
        <v>0</v>
      </c>
      <c r="O16" s="271">
        <f>Данные!O245</f>
        <v>0</v>
      </c>
      <c r="P16" s="271">
        <f>Данные!P245</f>
        <v>0</v>
      </c>
      <c r="Q16" s="271">
        <f>Данные!Q245</f>
        <v>0</v>
      </c>
      <c r="R16" s="271">
        <f>Данные!R245</f>
        <v>0</v>
      </c>
      <c r="S16" s="271">
        <f>Данные!S245</f>
        <v>0</v>
      </c>
      <c r="T16" s="271">
        <f>Данные!T245</f>
        <v>0</v>
      </c>
      <c r="U16" s="271">
        <f>Данные!U245</f>
        <v>0</v>
      </c>
      <c r="V16" s="271">
        <f>Данные!V245</f>
        <v>0</v>
      </c>
      <c r="W16" s="271">
        <f>Данные!W245</f>
        <v>0</v>
      </c>
      <c r="X16" s="271">
        <f>Данные!X245</f>
        <v>0</v>
      </c>
      <c r="Y16" s="271">
        <f>Данные!Y245</f>
        <v>0</v>
      </c>
      <c r="Z16" s="271">
        <f>Данные!Z245</f>
        <v>0</v>
      </c>
    </row>
    <row r="17" spans="1:26" ht="12.75" customHeight="1">
      <c r="A17" s="71" t="s">
        <v>100</v>
      </c>
      <c r="B17" s="71" t="s">
        <v>329</v>
      </c>
      <c r="C17" s="271">
        <f>-Данные!C246</f>
        <v>0</v>
      </c>
      <c r="D17" s="271">
        <f>-Данные!D246</f>
        <v>0</v>
      </c>
      <c r="E17" s="271">
        <f>-Данные!E246</f>
        <v>0</v>
      </c>
      <c r="F17" s="271">
        <f>-Данные!F246</f>
        <v>0</v>
      </c>
      <c r="G17" s="271">
        <f>-Данные!G246</f>
        <v>0</v>
      </c>
      <c r="H17" s="271">
        <f>-Данные!H246</f>
        <v>0</v>
      </c>
      <c r="I17" s="271">
        <f>-Данные!I246</f>
        <v>0</v>
      </c>
      <c r="J17" s="271">
        <f>-Данные!J246</f>
        <v>0</v>
      </c>
      <c r="K17" s="271">
        <f>-Данные!K246</f>
        <v>0</v>
      </c>
      <c r="L17" s="271">
        <f>-Данные!L246</f>
        <v>0</v>
      </c>
      <c r="M17" s="271">
        <f>-Данные!M246</f>
        <v>0</v>
      </c>
      <c r="N17" s="271">
        <f>-Данные!N246</f>
        <v>0</v>
      </c>
      <c r="O17" s="271">
        <f>-Данные!O246</f>
        <v>0</v>
      </c>
      <c r="P17" s="271">
        <f>-Данные!P246</f>
        <v>0</v>
      </c>
      <c r="Q17" s="271">
        <f>-Данные!Q246</f>
        <v>0</v>
      </c>
      <c r="R17" s="271">
        <f>-Данные!R246</f>
        <v>0</v>
      </c>
      <c r="S17" s="271">
        <f>-Данные!S246</f>
        <v>0</v>
      </c>
      <c r="T17" s="271">
        <f>-Данные!T246</f>
        <v>0</v>
      </c>
      <c r="U17" s="271">
        <f>-Данные!U246</f>
        <v>0</v>
      </c>
      <c r="V17" s="271">
        <f>-Данные!V246</f>
        <v>0</v>
      </c>
      <c r="W17" s="271">
        <f>-Данные!W246</f>
        <v>0</v>
      </c>
      <c r="X17" s="271">
        <f>-Данные!X246</f>
        <v>0</v>
      </c>
      <c r="Y17" s="271">
        <f>-Данные!Y246</f>
        <v>0</v>
      </c>
      <c r="Z17" s="271">
        <f>-Данные!Z246</f>
        <v>0</v>
      </c>
    </row>
    <row r="18" spans="1:26" ht="12.75" customHeight="1">
      <c r="A18" s="71" t="s">
        <v>89</v>
      </c>
      <c r="B18" s="71" t="s">
        <v>330</v>
      </c>
      <c r="C18" s="271">
        <f>-Данные!C244</f>
        <v>0</v>
      </c>
      <c r="D18" s="271">
        <f>-Данные!D244</f>
        <v>0</v>
      </c>
      <c r="E18" s="271">
        <f>-Данные!E244</f>
        <v>0</v>
      </c>
      <c r="F18" s="271">
        <f>-Данные!F244</f>
        <v>0</v>
      </c>
      <c r="G18" s="271">
        <f>-Данные!G244</f>
        <v>0</v>
      </c>
      <c r="H18" s="271">
        <f>-Данные!H244</f>
        <v>0</v>
      </c>
      <c r="I18" s="271">
        <f>-Данные!I244</f>
        <v>0</v>
      </c>
      <c r="J18" s="271">
        <f>-Данные!J244</f>
        <v>0</v>
      </c>
      <c r="K18" s="271">
        <f>-Данные!K244</f>
        <v>0</v>
      </c>
      <c r="L18" s="271">
        <f>-Данные!L244</f>
        <v>0</v>
      </c>
      <c r="M18" s="271">
        <f>-Данные!M244</f>
        <v>0</v>
      </c>
      <c r="N18" s="271">
        <f>-Данные!N244</f>
        <v>0</v>
      </c>
      <c r="O18" s="271">
        <f>-Данные!O244</f>
        <v>0</v>
      </c>
      <c r="P18" s="271">
        <f>-Данные!P244</f>
        <v>0</v>
      </c>
      <c r="Q18" s="271">
        <f>-Данные!Q244</f>
        <v>0</v>
      </c>
      <c r="R18" s="271">
        <f>-Данные!R244</f>
        <v>0</v>
      </c>
      <c r="S18" s="271">
        <f>-Данные!S244</f>
        <v>0</v>
      </c>
      <c r="T18" s="271">
        <f>-Данные!T244</f>
        <v>0</v>
      </c>
      <c r="U18" s="271">
        <f>-Данные!U244</f>
        <v>0</v>
      </c>
      <c r="V18" s="271">
        <f>-Данные!V244</f>
        <v>0</v>
      </c>
      <c r="W18" s="271">
        <f>-Данные!W244</f>
        <v>0</v>
      </c>
      <c r="X18" s="271">
        <f>-Данные!X244</f>
        <v>0</v>
      </c>
      <c r="Y18" s="271">
        <f>-Данные!Y244</f>
        <v>0</v>
      </c>
      <c r="Z18" s="271">
        <f>-Данные!Z244</f>
        <v>0</v>
      </c>
    </row>
    <row r="19" spans="1:26" ht="12.75" customHeight="1">
      <c r="A19" s="73" t="s">
        <v>251</v>
      </c>
      <c r="B19" s="73" t="s">
        <v>331</v>
      </c>
      <c r="C19" s="270">
        <f>SUM(C15:C18)</f>
        <v>0</v>
      </c>
      <c r="D19" s="270">
        <f t="shared" ref="D19:N19" si="4">SUM(D15:D18)</f>
        <v>0</v>
      </c>
      <c r="E19" s="270">
        <f t="shared" si="4"/>
        <v>0</v>
      </c>
      <c r="F19" s="270">
        <f t="shared" si="4"/>
        <v>0</v>
      </c>
      <c r="G19" s="270">
        <f t="shared" si="4"/>
        <v>0</v>
      </c>
      <c r="H19" s="270">
        <f t="shared" si="4"/>
        <v>0</v>
      </c>
      <c r="I19" s="270">
        <f t="shared" si="4"/>
        <v>0</v>
      </c>
      <c r="J19" s="270">
        <f t="shared" si="4"/>
        <v>0</v>
      </c>
      <c r="K19" s="270">
        <f t="shared" si="4"/>
        <v>0</v>
      </c>
      <c r="L19" s="270">
        <f t="shared" si="4"/>
        <v>0</v>
      </c>
      <c r="M19" s="270">
        <f t="shared" si="4"/>
        <v>0</v>
      </c>
      <c r="N19" s="270">
        <f t="shared" si="4"/>
        <v>0</v>
      </c>
      <c r="O19" s="270">
        <f t="shared" ref="O19:Z19" si="5">SUM(O15:O18)</f>
        <v>0</v>
      </c>
      <c r="P19" s="270">
        <f t="shared" si="5"/>
        <v>0</v>
      </c>
      <c r="Q19" s="270">
        <f t="shared" si="5"/>
        <v>0</v>
      </c>
      <c r="R19" s="270">
        <f t="shared" si="5"/>
        <v>0</v>
      </c>
      <c r="S19" s="270">
        <f t="shared" si="5"/>
        <v>0</v>
      </c>
      <c r="T19" s="270">
        <f t="shared" si="5"/>
        <v>0</v>
      </c>
      <c r="U19" s="270">
        <f t="shared" si="5"/>
        <v>0</v>
      </c>
      <c r="V19" s="270">
        <f t="shared" si="5"/>
        <v>0</v>
      </c>
      <c r="W19" s="270">
        <f t="shared" si="5"/>
        <v>0</v>
      </c>
      <c r="X19" s="270">
        <f t="shared" si="5"/>
        <v>0</v>
      </c>
      <c r="Y19" s="270">
        <f t="shared" si="5"/>
        <v>0</v>
      </c>
      <c r="Z19" s="270">
        <f t="shared" si="5"/>
        <v>0</v>
      </c>
    </row>
    <row r="20" spans="1:26" ht="12.75" customHeight="1">
      <c r="A20" s="71"/>
      <c r="B20" s="71"/>
      <c r="C20" s="271"/>
      <c r="D20" s="271"/>
      <c r="E20" s="271"/>
      <c r="F20" s="271"/>
      <c r="G20" s="271"/>
      <c r="H20" s="271"/>
      <c r="I20" s="271"/>
      <c r="J20" s="271"/>
      <c r="K20" s="271"/>
      <c r="L20" s="271"/>
      <c r="M20" s="271"/>
      <c r="N20" s="271"/>
      <c r="O20" s="271"/>
      <c r="P20" s="271"/>
      <c r="Q20" s="271"/>
      <c r="R20" s="271"/>
      <c r="S20" s="271"/>
      <c r="T20" s="271"/>
      <c r="U20" s="271"/>
      <c r="V20" s="271"/>
      <c r="W20" s="271"/>
      <c r="X20" s="271"/>
      <c r="Y20" s="271"/>
      <c r="Z20" s="271"/>
    </row>
    <row r="21" spans="1:26" ht="12.75" customHeight="1">
      <c r="A21" s="74" t="s">
        <v>200</v>
      </c>
      <c r="B21" s="74" t="s">
        <v>332</v>
      </c>
      <c r="C21" s="272">
        <f>C8+C13+C19</f>
        <v>-350000</v>
      </c>
      <c r="D21" s="272">
        <f t="shared" ref="D21:N21" si="6">D8+D13+D19</f>
        <v>-340000</v>
      </c>
      <c r="E21" s="272">
        <f t="shared" si="6"/>
        <v>-340000</v>
      </c>
      <c r="F21" s="272">
        <f t="shared" si="6"/>
        <v>44000</v>
      </c>
      <c r="G21" s="272">
        <f t="shared" si="6"/>
        <v>386000</v>
      </c>
      <c r="H21" s="272">
        <f t="shared" si="6"/>
        <v>876000</v>
      </c>
      <c r="I21" s="272">
        <f t="shared" si="6"/>
        <v>0</v>
      </c>
      <c r="J21" s="272">
        <f t="shared" si="6"/>
        <v>0</v>
      </c>
      <c r="K21" s="272">
        <f t="shared" si="6"/>
        <v>0</v>
      </c>
      <c r="L21" s="272">
        <f t="shared" si="6"/>
        <v>0</v>
      </c>
      <c r="M21" s="272">
        <f t="shared" si="6"/>
        <v>0</v>
      </c>
      <c r="N21" s="272">
        <f t="shared" si="6"/>
        <v>0</v>
      </c>
      <c r="O21" s="272">
        <f t="shared" ref="O21:Z21" si="7">O8+O13+O19</f>
        <v>-200000</v>
      </c>
      <c r="P21" s="272">
        <f t="shared" si="7"/>
        <v>-200000</v>
      </c>
      <c r="Q21" s="272">
        <f t="shared" si="7"/>
        <v>-200000</v>
      </c>
      <c r="R21" s="272">
        <f t="shared" si="7"/>
        <v>-200000</v>
      </c>
      <c r="S21" s="272">
        <f t="shared" si="7"/>
        <v>-200000</v>
      </c>
      <c r="T21" s="272">
        <f t="shared" si="7"/>
        <v>-200000</v>
      </c>
      <c r="U21" s="272">
        <f t="shared" si="7"/>
        <v>-200000</v>
      </c>
      <c r="V21" s="272">
        <f t="shared" si="7"/>
        <v>-200000</v>
      </c>
      <c r="W21" s="272">
        <f t="shared" si="7"/>
        <v>-200000</v>
      </c>
      <c r="X21" s="272">
        <f t="shared" si="7"/>
        <v>-200000</v>
      </c>
      <c r="Y21" s="272">
        <f t="shared" si="7"/>
        <v>-200000</v>
      </c>
      <c r="Z21" s="272">
        <f t="shared" si="7"/>
        <v>-200000</v>
      </c>
    </row>
    <row r="22" spans="1:26" ht="12.75" customHeight="1">
      <c r="A22" s="71" t="s">
        <v>213</v>
      </c>
      <c r="B22" s="71" t="s">
        <v>333</v>
      </c>
      <c r="C22" s="271">
        <f>Данные!C176</f>
        <v>0</v>
      </c>
      <c r="D22" s="271">
        <f t="shared" ref="D22:N22" si="8">C23</f>
        <v>-350000</v>
      </c>
      <c r="E22" s="271">
        <f t="shared" si="8"/>
        <v>-690000</v>
      </c>
      <c r="F22" s="271">
        <f t="shared" si="8"/>
        <v>-1030000</v>
      </c>
      <c r="G22" s="271">
        <f>F23</f>
        <v>-986000</v>
      </c>
      <c r="H22" s="271">
        <f>G23</f>
        <v>-600000</v>
      </c>
      <c r="I22" s="271">
        <f t="shared" si="8"/>
        <v>276000</v>
      </c>
      <c r="J22" s="271">
        <f t="shared" si="8"/>
        <v>276000</v>
      </c>
      <c r="K22" s="271">
        <f t="shared" si="8"/>
        <v>276000</v>
      </c>
      <c r="L22" s="271">
        <f t="shared" si="8"/>
        <v>276000</v>
      </c>
      <c r="M22" s="271">
        <f t="shared" si="8"/>
        <v>276000</v>
      </c>
      <c r="N22" s="271">
        <f t="shared" si="8"/>
        <v>276000</v>
      </c>
      <c r="O22" s="271">
        <f t="shared" ref="O22:Z22" si="9">N23</f>
        <v>276000</v>
      </c>
      <c r="P22" s="271">
        <f t="shared" si="9"/>
        <v>76000</v>
      </c>
      <c r="Q22" s="271">
        <f t="shared" si="9"/>
        <v>-124000</v>
      </c>
      <c r="R22" s="271">
        <f t="shared" si="9"/>
        <v>-324000</v>
      </c>
      <c r="S22" s="271">
        <f t="shared" si="9"/>
        <v>-524000</v>
      </c>
      <c r="T22" s="271">
        <f t="shared" si="9"/>
        <v>-724000</v>
      </c>
      <c r="U22" s="271">
        <f t="shared" si="9"/>
        <v>-924000</v>
      </c>
      <c r="V22" s="271">
        <f t="shared" si="9"/>
        <v>-1124000</v>
      </c>
      <c r="W22" s="271">
        <f t="shared" si="9"/>
        <v>-1324000</v>
      </c>
      <c r="X22" s="271">
        <f t="shared" si="9"/>
        <v>-1524000</v>
      </c>
      <c r="Y22" s="271">
        <f t="shared" si="9"/>
        <v>-1724000</v>
      </c>
      <c r="Z22" s="271">
        <f t="shared" si="9"/>
        <v>-1924000</v>
      </c>
    </row>
    <row r="23" spans="1:26" ht="12.75" customHeight="1" thickBot="1">
      <c r="A23" s="75" t="s">
        <v>214</v>
      </c>
      <c r="B23" s="75" t="s">
        <v>334</v>
      </c>
      <c r="C23" s="273">
        <f t="shared" ref="C23:N23" si="10">C22+C21</f>
        <v>-350000</v>
      </c>
      <c r="D23" s="273">
        <f t="shared" si="10"/>
        <v>-690000</v>
      </c>
      <c r="E23" s="273">
        <f t="shared" si="10"/>
        <v>-1030000</v>
      </c>
      <c r="F23" s="273">
        <f t="shared" si="10"/>
        <v>-986000</v>
      </c>
      <c r="G23" s="273">
        <f t="shared" si="10"/>
        <v>-600000</v>
      </c>
      <c r="H23" s="273">
        <f t="shared" si="10"/>
        <v>276000</v>
      </c>
      <c r="I23" s="273">
        <f t="shared" si="10"/>
        <v>276000</v>
      </c>
      <c r="J23" s="273">
        <f t="shared" si="10"/>
        <v>276000</v>
      </c>
      <c r="K23" s="273">
        <f t="shared" si="10"/>
        <v>276000</v>
      </c>
      <c r="L23" s="273">
        <f t="shared" si="10"/>
        <v>276000</v>
      </c>
      <c r="M23" s="273">
        <f t="shared" si="10"/>
        <v>276000</v>
      </c>
      <c r="N23" s="273">
        <f t="shared" si="10"/>
        <v>276000</v>
      </c>
      <c r="O23" s="273">
        <f t="shared" ref="O23:Z23" si="11">O22+O21</f>
        <v>76000</v>
      </c>
      <c r="P23" s="273">
        <f t="shared" si="11"/>
        <v>-124000</v>
      </c>
      <c r="Q23" s="273">
        <f t="shared" si="11"/>
        <v>-324000</v>
      </c>
      <c r="R23" s="273">
        <f t="shared" si="11"/>
        <v>-524000</v>
      </c>
      <c r="S23" s="273">
        <f t="shared" si="11"/>
        <v>-724000</v>
      </c>
      <c r="T23" s="273">
        <f t="shared" si="11"/>
        <v>-924000</v>
      </c>
      <c r="U23" s="273">
        <f t="shared" si="11"/>
        <v>-1124000</v>
      </c>
      <c r="V23" s="273">
        <f t="shared" si="11"/>
        <v>-1324000</v>
      </c>
      <c r="W23" s="273">
        <f t="shared" si="11"/>
        <v>-1524000</v>
      </c>
      <c r="X23" s="273">
        <f t="shared" si="11"/>
        <v>-1724000</v>
      </c>
      <c r="Y23" s="273">
        <f t="shared" si="11"/>
        <v>-1924000</v>
      </c>
      <c r="Z23" s="273">
        <f t="shared" si="11"/>
        <v>-2124000</v>
      </c>
    </row>
    <row r="24" spans="1:26" ht="12.95" customHeight="1"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</row>
    <row r="25" spans="1:26" ht="12.95" customHeight="1">
      <c r="C25" s="72"/>
      <c r="D25" s="72"/>
      <c r="E25" s="72"/>
      <c r="F25" s="72"/>
      <c r="G25" s="72"/>
      <c r="H25" s="72"/>
      <c r="I25" s="72"/>
      <c r="J25" s="72"/>
      <c r="K25" s="72"/>
      <c r="L25" s="72"/>
      <c r="M25" s="72"/>
      <c r="N25" s="72"/>
      <c r="O25" s="72"/>
    </row>
    <row r="26" spans="1:26" ht="12.95" customHeight="1"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</row>
  </sheetData>
  <sheetProtection sheet="1" objects="1" scenarios="1"/>
  <pageMargins left="0.98425196850393704" right="0.98425196850393704" top="0.98425196850393704" bottom="0.98425196850393704" header="0.51181102362204722" footer="0.51181102362204722"/>
  <pageSetup paperSize="9" orientation="landscape" horizontalDpi="4294967292" r:id="rId1"/>
  <headerFooter alignWithMargins="0">
    <oddHeader>&amp;LМастерская бизнес-планирования (tm)&amp;R&amp;"Arial Cyr,курсив\Инвестиционный анализ</oddHeader>
    <oddFooter>&amp;L&amp;D &amp;T&amp;C&amp;F&amp;RСтр. &amp;P из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/>
  <dimension ref="A1:Y122"/>
  <sheetViews>
    <sheetView workbookViewId="0">
      <selection activeCell="B4" sqref="B4"/>
    </sheetView>
  </sheetViews>
  <sheetFormatPr defaultColWidth="9.140625" defaultRowHeight="11.25"/>
  <cols>
    <col min="1" max="1" width="37.85546875" style="29" customWidth="1"/>
    <col min="2" max="7" width="10.7109375" style="29" customWidth="1"/>
    <col min="8" max="25" width="10.7109375" style="29" hidden="1" customWidth="1"/>
    <col min="26" max="16384" width="9.140625" style="29"/>
  </cols>
  <sheetData>
    <row r="1" spans="1:25" s="58" customFormat="1" ht="26.1" customHeight="1" thickBot="1">
      <c r="A1" s="56" t="s">
        <v>201</v>
      </c>
      <c r="B1" s="57"/>
    </row>
    <row r="2" spans="1:25" ht="12" thickBot="1"/>
    <row r="3" spans="1:25">
      <c r="A3" s="41" t="s">
        <v>204</v>
      </c>
      <c r="B3" s="59">
        <f>Данные!B34</f>
        <v>0.25</v>
      </c>
      <c r="C3" s="60"/>
    </row>
    <row r="4" spans="1:25">
      <c r="A4" s="61" t="s">
        <v>203</v>
      </c>
      <c r="B4" s="62">
        <f ca="1">B38</f>
        <v>183401.82241773244</v>
      </c>
      <c r="C4" s="63" t="s">
        <v>124</v>
      </c>
    </row>
    <row r="5" spans="1:25">
      <c r="A5" s="64" t="s">
        <v>202</v>
      </c>
      <c r="B5" s="62">
        <f ca="1">B38+(INDIRECT(ADDRESS(19,1+Расчеты!B10,,1,"Баланс"))+INDIRECT(ADDRESS(4,1+Расчеты!B10,,1,"Баланс"))+INDIRECT(ADDRESS(5,1+Расчеты!B10,,1,"Баланс"))+INDIRECT(ADDRESS(6,1+Расчеты!B10,,1,"Баланс"))-INDIRECT(ADDRESS(23,1+Расчеты!B10,,1,"Баланс")))/POWER(1+B3,0.0833333*Расчеты!B10*Расчеты!B9)</f>
        <v>-307574.839696376</v>
      </c>
      <c r="C5" s="63" t="s">
        <v>124</v>
      </c>
    </row>
    <row r="6" spans="1:25" ht="12" thickBot="1">
      <c r="A6" s="65" t="s">
        <v>205</v>
      </c>
      <c r="B6" s="66">
        <f ca="1">IF(B3&gt;0,B38+INDIRECT(ADDRESS(30,1+Расчеты!B10,,1))/B3,"N/A")</f>
        <v>183504.15744311316</v>
      </c>
      <c r="C6" s="55" t="s">
        <v>124</v>
      </c>
    </row>
    <row r="7" spans="1:25" ht="12" thickBot="1"/>
    <row r="8" spans="1:25" ht="26.25" customHeight="1" thickBot="1">
      <c r="A8" s="30" t="s">
        <v>120</v>
      </c>
      <c r="B8" s="31" t="str">
        <f>Данные!C40</f>
        <v>1/2027</v>
      </c>
      <c r="C8" s="31" t="str">
        <f>Данные!D40</f>
        <v>2/2027</v>
      </c>
      <c r="D8" s="31" t="str">
        <f>Данные!E40</f>
        <v>3/2027</v>
      </c>
      <c r="E8" s="31" t="str">
        <f>Данные!F40</f>
        <v>4/2027</v>
      </c>
      <c r="F8" s="31" t="str">
        <f>Данные!G40</f>
        <v>5/2027</v>
      </c>
      <c r="G8" s="31" t="str">
        <f>Данные!H40</f>
        <v>6/2027</v>
      </c>
      <c r="H8" s="31" t="str">
        <f>Данные!I40</f>
        <v>7/2027</v>
      </c>
      <c r="I8" s="31" t="str">
        <f>Данные!J40</f>
        <v>8/2027</v>
      </c>
      <c r="J8" s="31" t="str">
        <f>Данные!K40</f>
        <v>9/2027</v>
      </c>
      <c r="K8" s="31" t="str">
        <f>Данные!L40</f>
        <v>10/2027</v>
      </c>
      <c r="L8" s="31" t="str">
        <f>Данные!M40</f>
        <v>11/2027</v>
      </c>
      <c r="M8" s="31" t="str">
        <f>Данные!N40</f>
        <v>12/2027</v>
      </c>
      <c r="N8" s="31" t="str">
        <f>Данные!O40</f>
        <v>1/2028</v>
      </c>
      <c r="O8" s="31" t="str">
        <f>Данные!P40</f>
        <v>2/2028</v>
      </c>
      <c r="P8" s="31" t="str">
        <f>Данные!Q40</f>
        <v>3/2028</v>
      </c>
      <c r="Q8" s="31" t="str">
        <f>Данные!R40</f>
        <v>4/2028</v>
      </c>
      <c r="R8" s="31" t="str">
        <f>Данные!S40</f>
        <v>5/2028</v>
      </c>
      <c r="S8" s="31" t="str">
        <f>Данные!T40</f>
        <v>6/2028</v>
      </c>
      <c r="T8" s="31" t="str">
        <f>Данные!U40</f>
        <v>7/2028</v>
      </c>
      <c r="U8" s="31" t="str">
        <f>Данные!V40</f>
        <v>8/2028</v>
      </c>
      <c r="V8" s="31" t="str">
        <f>Данные!W40</f>
        <v>9/2028</v>
      </c>
      <c r="W8" s="31" t="str">
        <f>Данные!X40</f>
        <v>10/2028</v>
      </c>
      <c r="X8" s="31" t="str">
        <f>Данные!Y40</f>
        <v>11/2028</v>
      </c>
      <c r="Y8" s="31" t="str">
        <f>Данные!Z40</f>
        <v>12/2028</v>
      </c>
    </row>
    <row r="9" spans="1:25" ht="12.75" customHeight="1">
      <c r="A9" s="32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</row>
    <row r="10" spans="1:25" ht="12.75" customHeight="1">
      <c r="A10" s="33" t="s">
        <v>106</v>
      </c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</row>
    <row r="11" spans="1:25" ht="12.75" customHeight="1">
      <c r="A11" s="35" t="s">
        <v>107</v>
      </c>
      <c r="B11" s="36" t="str">
        <f ca="1">IF(Баланс!C19&gt;0.01,Баланс!C2/Баланс!C19,"-")</f>
        <v>-</v>
      </c>
      <c r="C11" s="36" t="str">
        <f ca="1">IF(Баланс!D19&gt;0.01,Баланс!D2/Баланс!D19,"-")</f>
        <v>-</v>
      </c>
      <c r="D11" s="36" t="str">
        <f ca="1">IF(Баланс!E19&gt;0.01,Баланс!E2/Баланс!E19,"-")</f>
        <v>-</v>
      </c>
      <c r="E11" s="36" t="str">
        <f ca="1">IF(Баланс!F19&gt;0.01,Баланс!F2/Баланс!F19,"-")</f>
        <v>-</v>
      </c>
      <c r="F11" s="36" t="str">
        <f ca="1">IF(Баланс!G19&gt;0.01,Баланс!G2/Баланс!G19,"-")</f>
        <v>-</v>
      </c>
      <c r="G11" s="36" t="str">
        <f ca="1">IF(Баланс!H19&gt;0.01,Баланс!H2/Баланс!H19,"-")</f>
        <v>-</v>
      </c>
      <c r="H11" s="36" t="str">
        <f ca="1">IF(Баланс!I19&gt;0.01,Баланс!I2/Баланс!I19,"-")</f>
        <v>-</v>
      </c>
      <c r="I11" s="36" t="str">
        <f ca="1">IF(Баланс!J19&gt;0.01,Баланс!J2/Баланс!J19,"-")</f>
        <v>-</v>
      </c>
      <c r="J11" s="36" t="str">
        <f ca="1">IF(Баланс!K19&gt;0.01,Баланс!K2/Баланс!K19,"-")</f>
        <v>-</v>
      </c>
      <c r="K11" s="36" t="str">
        <f ca="1">IF(Баланс!L19&gt;0.01,Баланс!L2/Баланс!L19,"-")</f>
        <v>-</v>
      </c>
      <c r="L11" s="36" t="str">
        <f ca="1">IF(Баланс!M19&gt;0.01,Баланс!M2/Баланс!M19,"-")</f>
        <v>-</v>
      </c>
      <c r="M11" s="36" t="str">
        <f ca="1">IF(Баланс!N19&gt;0.01,Баланс!N2/Баланс!N19,"-")</f>
        <v>-</v>
      </c>
      <c r="N11" s="36" t="str">
        <f ca="1">IF(Баланс!O19&gt;0.01,Баланс!O2/Баланс!O19,"-")</f>
        <v>-</v>
      </c>
      <c r="O11" s="36" t="str">
        <f ca="1">IF(Баланс!P19&gt;0.01,Баланс!P2/Баланс!P19,"-")</f>
        <v>-</v>
      </c>
      <c r="P11" s="36" t="str">
        <f ca="1">IF(Баланс!Q19&gt;0.01,Баланс!Q2/Баланс!Q19,"-")</f>
        <v>-</v>
      </c>
      <c r="Q11" s="36" t="str">
        <f ca="1">IF(Баланс!R19&gt;0.01,Баланс!R2/Баланс!R19,"-")</f>
        <v>-</v>
      </c>
      <c r="R11" s="36" t="str">
        <f ca="1">IF(Баланс!S19&gt;0.01,Баланс!S2/Баланс!S19,"-")</f>
        <v>-</v>
      </c>
      <c r="S11" s="36" t="str">
        <f ca="1">IF(Баланс!T19&gt;0.01,Баланс!T2/Баланс!T19,"-")</f>
        <v>-</v>
      </c>
      <c r="T11" s="36" t="str">
        <f ca="1">IF(Баланс!U19&gt;0.01,Баланс!U2/Баланс!U19,"-")</f>
        <v>-</v>
      </c>
      <c r="U11" s="36" t="str">
        <f ca="1">IF(Баланс!V19&gt;0.01,Баланс!V2/Баланс!V19,"-")</f>
        <v>-</v>
      </c>
      <c r="V11" s="36" t="str">
        <f ca="1">IF(Баланс!W19&gt;0.01,Баланс!W2/Баланс!W19,"-")</f>
        <v>-</v>
      </c>
      <c r="W11" s="36" t="str">
        <f ca="1">IF(Баланс!X19&gt;0.01,Баланс!X2/Баланс!X19,"-")</f>
        <v>-</v>
      </c>
      <c r="X11" s="36" t="str">
        <f ca="1">IF(Баланс!Y19&gt;0.01,Баланс!Y2/Баланс!Y19,"-")</f>
        <v>-</v>
      </c>
      <c r="Y11" s="36" t="str">
        <f ca="1">IF(Баланс!Z19&gt;0.01,Баланс!Z2/Баланс!Z19,"-")</f>
        <v>-</v>
      </c>
    </row>
    <row r="12" spans="1:25" ht="12.75" customHeight="1">
      <c r="A12" s="35" t="s">
        <v>108</v>
      </c>
      <c r="B12" s="36" t="str">
        <f ca="1">IF(Баланс!C19&gt;0.01,(Баланс!C2+Баланс!C3)/Баланс!C19,"-")</f>
        <v>-</v>
      </c>
      <c r="C12" s="36" t="str">
        <f ca="1">IF(Баланс!D19&gt;0.01,(Баланс!D2+Баланс!D3)/Баланс!D19,"-")</f>
        <v>-</v>
      </c>
      <c r="D12" s="36" t="str">
        <f ca="1">IF(Баланс!E19&gt;0.01,(Баланс!E2+Баланс!E3)/Баланс!E19,"-")</f>
        <v>-</v>
      </c>
      <c r="E12" s="36" t="str">
        <f ca="1">IF(Баланс!F19&gt;0.01,(Баланс!F2+Баланс!F3)/Баланс!F19,"-")</f>
        <v>-</v>
      </c>
      <c r="F12" s="36" t="str">
        <f ca="1">IF(Баланс!G19&gt;0.01,(Баланс!G2+Баланс!G3)/Баланс!G19,"-")</f>
        <v>-</v>
      </c>
      <c r="G12" s="36" t="str">
        <f ca="1">IF(Баланс!H19&gt;0.01,(Баланс!H2+Баланс!H3)/Баланс!H19,"-")</f>
        <v>-</v>
      </c>
      <c r="H12" s="36" t="str">
        <f ca="1">IF(Баланс!I19&gt;0.01,(Баланс!I2+Баланс!I3)/Баланс!I19,"-")</f>
        <v>-</v>
      </c>
      <c r="I12" s="36" t="str">
        <f ca="1">IF(Баланс!J19&gt;0.01,(Баланс!J2+Баланс!J3)/Баланс!J19,"-")</f>
        <v>-</v>
      </c>
      <c r="J12" s="36" t="str">
        <f ca="1">IF(Баланс!K19&gt;0.01,(Баланс!K2+Баланс!K3)/Баланс!K19,"-")</f>
        <v>-</v>
      </c>
      <c r="K12" s="36" t="str">
        <f ca="1">IF(Баланс!L19&gt;0.01,(Баланс!L2+Баланс!L3)/Баланс!L19,"-")</f>
        <v>-</v>
      </c>
      <c r="L12" s="36" t="str">
        <f ca="1">IF(Баланс!M19&gt;0.01,(Баланс!M2+Баланс!M3)/Баланс!M19,"-")</f>
        <v>-</v>
      </c>
      <c r="M12" s="36" t="str">
        <f ca="1">IF(Баланс!N19&gt;0.01,(Баланс!N2+Баланс!N3)/Баланс!N19,"-")</f>
        <v>-</v>
      </c>
      <c r="N12" s="36" t="str">
        <f ca="1">IF(Баланс!O19&gt;0.01,(Баланс!O2+Баланс!O3)/Баланс!O19,"-")</f>
        <v>-</v>
      </c>
      <c r="O12" s="36" t="str">
        <f ca="1">IF(Баланс!P19&gt;0.01,(Баланс!P2+Баланс!P3)/Баланс!P19,"-")</f>
        <v>-</v>
      </c>
      <c r="P12" s="36" t="str">
        <f ca="1">IF(Баланс!Q19&gt;0.01,(Баланс!Q2+Баланс!Q3)/Баланс!Q19,"-")</f>
        <v>-</v>
      </c>
      <c r="Q12" s="36" t="str">
        <f ca="1">IF(Баланс!R19&gt;0.01,(Баланс!R2+Баланс!R3)/Баланс!R19,"-")</f>
        <v>-</v>
      </c>
      <c r="R12" s="36" t="str">
        <f ca="1">IF(Баланс!S19&gt;0.01,(Баланс!S2+Баланс!S3)/Баланс!S19,"-")</f>
        <v>-</v>
      </c>
      <c r="S12" s="36" t="str">
        <f ca="1">IF(Баланс!T19&gt;0.01,(Баланс!T2+Баланс!T3)/Баланс!T19,"-")</f>
        <v>-</v>
      </c>
      <c r="T12" s="36" t="str">
        <f ca="1">IF(Баланс!U19&gt;0.01,(Баланс!U2+Баланс!U3)/Баланс!U19,"-")</f>
        <v>-</v>
      </c>
      <c r="U12" s="36" t="str">
        <f ca="1">IF(Баланс!V19&gt;0.01,(Баланс!V2+Баланс!V3)/Баланс!V19,"-")</f>
        <v>-</v>
      </c>
      <c r="V12" s="36" t="str">
        <f ca="1">IF(Баланс!W19&gt;0.01,(Баланс!W2+Баланс!W3)/Баланс!W19,"-")</f>
        <v>-</v>
      </c>
      <c r="W12" s="36" t="str">
        <f ca="1">IF(Баланс!X19&gt;0.01,(Баланс!X2+Баланс!X3)/Баланс!X19,"-")</f>
        <v>-</v>
      </c>
      <c r="X12" s="36" t="str">
        <f ca="1">IF(Баланс!Y19&gt;0.01,(Баланс!Y2+Баланс!Y3)/Баланс!Y19,"-")</f>
        <v>-</v>
      </c>
      <c r="Y12" s="36" t="str">
        <f ca="1">IF(Баланс!Z19&gt;0.01,(Баланс!Z2+Баланс!Z3)/Баланс!Z19,"-")</f>
        <v>-</v>
      </c>
    </row>
    <row r="13" spans="1:25" ht="12.75" customHeight="1">
      <c r="A13" s="35" t="s">
        <v>109</v>
      </c>
      <c r="B13" s="36" t="str">
        <f ca="1">IF(Баланс!C19&gt;0.01,Баланс!C6/Баланс!C19,"-")</f>
        <v>-</v>
      </c>
      <c r="C13" s="36" t="str">
        <f ca="1">IF(Баланс!D19&gt;0.01,Баланс!D6/Баланс!D19,"-")</f>
        <v>-</v>
      </c>
      <c r="D13" s="36" t="str">
        <f ca="1">IF(Баланс!E19&gt;0.01,Баланс!E6/Баланс!E19,"-")</f>
        <v>-</v>
      </c>
      <c r="E13" s="36" t="str">
        <f ca="1">IF(Баланс!F19&gt;0.01,Баланс!F6/Баланс!F19,"-")</f>
        <v>-</v>
      </c>
      <c r="F13" s="36" t="str">
        <f ca="1">IF(Баланс!G19&gt;0.01,Баланс!G6/Баланс!G19,"-")</f>
        <v>-</v>
      </c>
      <c r="G13" s="36" t="str">
        <f ca="1">IF(Баланс!H19&gt;0.01,Баланс!H6/Баланс!H19,"-")</f>
        <v>-</v>
      </c>
      <c r="H13" s="36" t="str">
        <f ca="1">IF(Баланс!I19&gt;0.01,Баланс!I6/Баланс!I19,"-")</f>
        <v>-</v>
      </c>
      <c r="I13" s="36" t="str">
        <f ca="1">IF(Баланс!J19&gt;0.01,Баланс!J6/Баланс!J19,"-")</f>
        <v>-</v>
      </c>
      <c r="J13" s="36" t="str">
        <f ca="1">IF(Баланс!K19&gt;0.01,Баланс!K6/Баланс!K19,"-")</f>
        <v>-</v>
      </c>
      <c r="K13" s="36" t="str">
        <f ca="1">IF(Баланс!L19&gt;0.01,Баланс!L6/Баланс!L19,"-")</f>
        <v>-</v>
      </c>
      <c r="L13" s="36" t="str">
        <f ca="1">IF(Баланс!M19&gt;0.01,Баланс!M6/Баланс!M19,"-")</f>
        <v>-</v>
      </c>
      <c r="M13" s="36" t="str">
        <f ca="1">IF(Баланс!N19&gt;0.01,Баланс!N6/Баланс!N19,"-")</f>
        <v>-</v>
      </c>
      <c r="N13" s="36" t="str">
        <f ca="1">IF(Баланс!O19&gt;0.01,Баланс!O6/Баланс!O19,"-")</f>
        <v>-</v>
      </c>
      <c r="O13" s="36" t="str">
        <f ca="1">IF(Баланс!P19&gt;0.01,Баланс!P6/Баланс!P19,"-")</f>
        <v>-</v>
      </c>
      <c r="P13" s="36" t="str">
        <f ca="1">IF(Баланс!Q19&gt;0.01,Баланс!Q6/Баланс!Q19,"-")</f>
        <v>-</v>
      </c>
      <c r="Q13" s="36" t="str">
        <f ca="1">IF(Баланс!R19&gt;0.01,Баланс!R6/Баланс!R19,"-")</f>
        <v>-</v>
      </c>
      <c r="R13" s="36" t="str">
        <f ca="1">IF(Баланс!S19&gt;0.01,Баланс!S6/Баланс!S19,"-")</f>
        <v>-</v>
      </c>
      <c r="S13" s="36" t="str">
        <f ca="1">IF(Баланс!T19&gt;0.01,Баланс!T6/Баланс!T19,"-")</f>
        <v>-</v>
      </c>
      <c r="T13" s="36" t="str">
        <f ca="1">IF(Баланс!U19&gt;0.01,Баланс!U6/Баланс!U19,"-")</f>
        <v>-</v>
      </c>
      <c r="U13" s="36" t="str">
        <f ca="1">IF(Баланс!V19&gt;0.01,Баланс!V6/Баланс!V19,"-")</f>
        <v>-</v>
      </c>
      <c r="V13" s="36" t="str">
        <f ca="1">IF(Баланс!W19&gt;0.01,Баланс!W6/Баланс!W19,"-")</f>
        <v>-</v>
      </c>
      <c r="W13" s="36" t="str">
        <f ca="1">IF(Баланс!X19&gt;0.01,Баланс!X6/Баланс!X19,"-")</f>
        <v>-</v>
      </c>
      <c r="X13" s="36" t="str">
        <f ca="1">IF(Баланс!Y19&gt;0.01,Баланс!Y6/Баланс!Y19,"-")</f>
        <v>-</v>
      </c>
      <c r="Y13" s="36" t="str">
        <f ca="1">IF(Баланс!Z19&gt;0.01,Баланс!Z6/Баланс!Z19,"-")</f>
        <v>-</v>
      </c>
    </row>
    <row r="14" spans="1:25" ht="12.75" customHeight="1">
      <c r="A14" s="35" t="s">
        <v>110</v>
      </c>
      <c r="B14" s="37">
        <f ca="1">Баланс!C6-Баланс!C19</f>
        <v>-350000</v>
      </c>
      <c r="C14" s="37">
        <f ca="1">Баланс!D6-Баланс!D19</f>
        <v>-690000</v>
      </c>
      <c r="D14" s="37">
        <f ca="1">Баланс!E6-Баланс!E19</f>
        <v>-1030000</v>
      </c>
      <c r="E14" s="37">
        <f ca="1">Баланс!F6-Баланс!F19</f>
        <v>-986000</v>
      </c>
      <c r="F14" s="37">
        <f ca="1">Баланс!G6-Баланс!G19</f>
        <v>-600000</v>
      </c>
      <c r="G14" s="37">
        <f ca="1">Баланс!H6-Баланс!H19</f>
        <v>276000</v>
      </c>
      <c r="H14" s="37">
        <f ca="1">Баланс!I6-Баланс!I19</f>
        <v>276000</v>
      </c>
      <c r="I14" s="37">
        <f ca="1">Баланс!J6-Баланс!J19</f>
        <v>276000</v>
      </c>
      <c r="J14" s="37">
        <f ca="1">Баланс!K6-Баланс!K19</f>
        <v>276000</v>
      </c>
      <c r="K14" s="37">
        <f ca="1">Баланс!L6-Баланс!L19</f>
        <v>276000</v>
      </c>
      <c r="L14" s="37">
        <f ca="1">Баланс!M6-Баланс!M19</f>
        <v>276000</v>
      </c>
      <c r="M14" s="37">
        <f ca="1">Баланс!N6-Баланс!N19</f>
        <v>276000</v>
      </c>
      <c r="N14" s="37">
        <f ca="1">Баланс!O6-Баланс!O19</f>
        <v>76000</v>
      </c>
      <c r="O14" s="37">
        <f ca="1">Баланс!P6-Баланс!P19</f>
        <v>-124000</v>
      </c>
      <c r="P14" s="37">
        <f ca="1">Баланс!Q6-Баланс!Q19</f>
        <v>-324000</v>
      </c>
      <c r="Q14" s="37">
        <f ca="1">Баланс!R6-Баланс!R19</f>
        <v>-524000</v>
      </c>
      <c r="R14" s="37">
        <f ca="1">Баланс!S6-Баланс!S19</f>
        <v>-724000</v>
      </c>
      <c r="S14" s="37">
        <f ca="1">Баланс!T6-Баланс!T19</f>
        <v>-924000</v>
      </c>
      <c r="T14" s="37">
        <f ca="1">Баланс!U6-Баланс!U19</f>
        <v>-1124000</v>
      </c>
      <c r="U14" s="37">
        <f ca="1">Баланс!V6-Баланс!V19</f>
        <v>-1324000</v>
      </c>
      <c r="V14" s="37">
        <f ca="1">Баланс!W6-Баланс!W19</f>
        <v>-1524000</v>
      </c>
      <c r="W14" s="37">
        <f ca="1">Баланс!X6-Баланс!X19</f>
        <v>-1724000</v>
      </c>
      <c r="X14" s="37">
        <f ca="1">Баланс!Y6-Баланс!Y19</f>
        <v>-1924000</v>
      </c>
      <c r="Y14" s="37">
        <f ca="1">Баланс!Z6-Баланс!Z19</f>
        <v>-2124000</v>
      </c>
    </row>
    <row r="15" spans="1:25" ht="12.75" customHeight="1">
      <c r="A15" s="33" t="s">
        <v>111</v>
      </c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</row>
    <row r="16" spans="1:25" ht="12.75" customHeight="1">
      <c r="A16" s="35" t="s">
        <v>112</v>
      </c>
      <c r="B16" s="36" t="str">
        <f ca="1">IF(Баланс!C25&gt;0.01,Баланс!C24/Баланс!C25,"-")</f>
        <v>-</v>
      </c>
      <c r="C16" s="36" t="str">
        <f ca="1">IF(Баланс!D25&gt;0.01,Баланс!D24/Баланс!D25,"-")</f>
        <v>-</v>
      </c>
      <c r="D16" s="36" t="str">
        <f ca="1">IF(Баланс!E25&gt;0.01,Баланс!E24/Баланс!E25,"-")</f>
        <v>-</v>
      </c>
      <c r="E16" s="36" t="str">
        <f ca="1">IF(Баланс!F25&gt;0.01,Баланс!F24/Баланс!F25,"-")</f>
        <v>-</v>
      </c>
      <c r="F16" s="36" t="str">
        <f ca="1">IF(Баланс!G25&gt;0.01,Баланс!G24/Баланс!G25,"-")</f>
        <v>-</v>
      </c>
      <c r="G16" s="36">
        <f ca="1">IF(Баланс!H25&gt;0.01,Баланс!H24/Баланс!H25,"-")</f>
        <v>1</v>
      </c>
      <c r="H16" s="36">
        <f ca="1">IF(Баланс!I25&gt;0.01,Баланс!I24/Баланс!I25,"-")</f>
        <v>1</v>
      </c>
      <c r="I16" s="36">
        <f ca="1">IF(Баланс!J25&gt;0.01,Баланс!J24/Баланс!J25,"-")</f>
        <v>1</v>
      </c>
      <c r="J16" s="36">
        <f ca="1">IF(Баланс!K25&gt;0.01,Баланс!K24/Баланс!K25,"-")</f>
        <v>1</v>
      </c>
      <c r="K16" s="36">
        <f ca="1">IF(Баланс!L25&gt;0.01,Баланс!L24/Баланс!L25,"-")</f>
        <v>1</v>
      </c>
      <c r="L16" s="36">
        <f ca="1">IF(Баланс!M25&gt;0.01,Баланс!M24/Баланс!M25,"-")</f>
        <v>1</v>
      </c>
      <c r="M16" s="36">
        <f ca="1">IF(Баланс!N25&gt;0.01,Баланс!N24/Баланс!N25,"-")</f>
        <v>1</v>
      </c>
      <c r="N16" s="36">
        <f ca="1">IF(Баланс!O25&gt;0.01,Баланс!O24/Баланс!O25,"-")</f>
        <v>1</v>
      </c>
      <c r="O16" s="36">
        <f ca="1">IF(Баланс!P25&gt;0.01,Баланс!P24/Баланс!P25,"-")</f>
        <v>1</v>
      </c>
      <c r="P16" s="36">
        <f ca="1">IF(Баланс!Q25&gt;0.01,Баланс!Q24/Баланс!Q25,"-")</f>
        <v>1</v>
      </c>
      <c r="Q16" s="36">
        <f ca="1">IF(Баланс!R25&gt;0.01,Баланс!R24/Баланс!R25,"-")</f>
        <v>1</v>
      </c>
      <c r="R16" s="36" t="str">
        <f ca="1">IF(Баланс!S25&gt;0.01,Баланс!S24/Баланс!S25,"-")</f>
        <v>-</v>
      </c>
      <c r="S16" s="36" t="str">
        <f ca="1">IF(Баланс!T25&gt;0.01,Баланс!T24/Баланс!T25,"-")</f>
        <v>-</v>
      </c>
      <c r="T16" s="36" t="str">
        <f ca="1">IF(Баланс!U25&gt;0.01,Баланс!U24/Баланс!U25,"-")</f>
        <v>-</v>
      </c>
      <c r="U16" s="36" t="str">
        <f ca="1">IF(Баланс!V25&gt;0.01,Баланс!V24/Баланс!V25,"-")</f>
        <v>-</v>
      </c>
      <c r="V16" s="36" t="str">
        <f ca="1">IF(Баланс!W25&gt;0.01,Баланс!W24/Баланс!W25,"-")</f>
        <v>-</v>
      </c>
      <c r="W16" s="36" t="str">
        <f ca="1">IF(Баланс!X25&gt;0.01,Баланс!X24/Баланс!X25,"-")</f>
        <v>-</v>
      </c>
      <c r="X16" s="36" t="str">
        <f ca="1">IF(Баланс!Y25&gt;0.01,Баланс!Y24/Баланс!Y25,"-")</f>
        <v>-</v>
      </c>
      <c r="Y16" s="36" t="str">
        <f ca="1">IF(Баланс!Z25&gt;0.01,Баланс!Z24/Баланс!Z25,"-")</f>
        <v>-</v>
      </c>
    </row>
    <row r="17" spans="1:25" ht="12.75" customHeight="1">
      <c r="A17" s="35" t="s">
        <v>132</v>
      </c>
      <c r="B17" s="36" t="str">
        <f ca="1">IF(Баланс!C25&gt;0.01,(Баланс!C19+Баланс!C20)/Баланс!C25,"-")</f>
        <v>-</v>
      </c>
      <c r="C17" s="36" t="str">
        <f ca="1">IF(Баланс!D25&gt;0.01,(Баланс!D19+Баланс!D20)/Баланс!D25,"-")</f>
        <v>-</v>
      </c>
      <c r="D17" s="36" t="str">
        <f ca="1">IF(Баланс!E25&gt;0.01,(Баланс!E19+Баланс!E20)/Баланс!E25,"-")</f>
        <v>-</v>
      </c>
      <c r="E17" s="36" t="str">
        <f ca="1">IF(Баланс!F25&gt;0.01,(Баланс!F19+Баланс!F20)/Баланс!F25,"-")</f>
        <v>-</v>
      </c>
      <c r="F17" s="36" t="str">
        <f ca="1">IF(Баланс!G25&gt;0.01,(Баланс!G19+Баланс!G20)/Баланс!G25,"-")</f>
        <v>-</v>
      </c>
      <c r="G17" s="36">
        <f ca="1">IF(Баланс!H25&gt;0.01,(Баланс!H19+Баланс!H20)/Баланс!H25,"-")</f>
        <v>0</v>
      </c>
      <c r="H17" s="36">
        <f ca="1">IF(Баланс!I25&gt;0.01,(Баланс!I19+Баланс!I20)/Баланс!I25,"-")</f>
        <v>0</v>
      </c>
      <c r="I17" s="36">
        <f ca="1">IF(Баланс!J25&gt;0.01,(Баланс!J19+Баланс!J20)/Баланс!J25,"-")</f>
        <v>0</v>
      </c>
      <c r="J17" s="36">
        <f ca="1">IF(Баланс!K25&gt;0.01,(Баланс!K19+Баланс!K20)/Баланс!K25,"-")</f>
        <v>0</v>
      </c>
      <c r="K17" s="36">
        <f ca="1">IF(Баланс!L25&gt;0.01,(Баланс!L19+Баланс!L20)/Баланс!L25,"-")</f>
        <v>0</v>
      </c>
      <c r="L17" s="36">
        <f ca="1">IF(Баланс!M25&gt;0.01,(Баланс!M19+Баланс!M20)/Баланс!M25,"-")</f>
        <v>0</v>
      </c>
      <c r="M17" s="36">
        <f ca="1">IF(Баланс!N25&gt;0.01,(Баланс!N19+Баланс!N20)/Баланс!N25,"-")</f>
        <v>0</v>
      </c>
      <c r="N17" s="36">
        <f ca="1">IF(Баланс!O25&gt;0.01,(Баланс!O19+Баланс!O20)/Баланс!O25,"-")</f>
        <v>0</v>
      </c>
      <c r="O17" s="36">
        <f ca="1">IF(Баланс!P25&gt;0.01,(Баланс!P19+Баланс!P20)/Баланс!P25,"-")</f>
        <v>0</v>
      </c>
      <c r="P17" s="36">
        <f ca="1">IF(Баланс!Q25&gt;0.01,(Баланс!Q19+Баланс!Q20)/Баланс!Q25,"-")</f>
        <v>0</v>
      </c>
      <c r="Q17" s="36">
        <f ca="1">IF(Баланс!R25&gt;0.01,(Баланс!R19+Баланс!R20)/Баланс!R25,"-")</f>
        <v>0</v>
      </c>
      <c r="R17" s="36" t="str">
        <f ca="1">IF(Баланс!S25&gt;0.01,(Баланс!S19+Баланс!S20)/Баланс!S25,"-")</f>
        <v>-</v>
      </c>
      <c r="S17" s="36" t="str">
        <f ca="1">IF(Баланс!T25&gt;0.01,(Баланс!T19+Баланс!T20)/Баланс!T25,"-")</f>
        <v>-</v>
      </c>
      <c r="T17" s="36" t="str">
        <f ca="1">IF(Баланс!U25&gt;0.01,(Баланс!U19+Баланс!U20)/Баланс!U25,"-")</f>
        <v>-</v>
      </c>
      <c r="U17" s="36" t="str">
        <f ca="1">IF(Баланс!V25&gt;0.01,(Баланс!V19+Баланс!V20)/Баланс!V25,"-")</f>
        <v>-</v>
      </c>
      <c r="V17" s="36" t="str">
        <f ca="1">IF(Баланс!W25&gt;0.01,(Баланс!W19+Баланс!W20)/Баланс!W25,"-")</f>
        <v>-</v>
      </c>
      <c r="W17" s="36" t="str">
        <f ca="1">IF(Баланс!X25&gt;0.01,(Баланс!X19+Баланс!X20)/Баланс!X25,"-")</f>
        <v>-</v>
      </c>
      <c r="X17" s="36" t="str">
        <f ca="1">IF(Баланс!Y25&gt;0.01,(Баланс!Y19+Баланс!Y20)/Баланс!Y25,"-")</f>
        <v>-</v>
      </c>
      <c r="Y17" s="36" t="str">
        <f ca="1">IF(Баланс!Z25&gt;0.01,(Баланс!Z19+Баланс!Z20)/Баланс!Z25,"-")</f>
        <v>-</v>
      </c>
    </row>
    <row r="18" spans="1:25" ht="12.75" customHeight="1">
      <c r="A18" s="35" t="s">
        <v>113</v>
      </c>
      <c r="B18" s="36" t="str">
        <f ca="1">IF(Баланс!C25&gt;0.01,Баланс!C20/Баланс!C25,"-")</f>
        <v>-</v>
      </c>
      <c r="C18" s="36" t="str">
        <f ca="1">IF(Баланс!D25&gt;0.01,Баланс!D20/Баланс!D25,"-")</f>
        <v>-</v>
      </c>
      <c r="D18" s="36" t="str">
        <f ca="1">IF(Баланс!E25&gt;0.01,Баланс!E20/Баланс!E25,"-")</f>
        <v>-</v>
      </c>
      <c r="E18" s="36" t="str">
        <f ca="1">IF(Баланс!F25&gt;0.01,Баланс!F20/Баланс!F25,"-")</f>
        <v>-</v>
      </c>
      <c r="F18" s="36" t="str">
        <f ca="1">IF(Баланс!G25&gt;0.01,Баланс!G20/Баланс!G25,"-")</f>
        <v>-</v>
      </c>
      <c r="G18" s="36">
        <f ca="1">IF(Баланс!H25&gt;0.01,Баланс!H20/Баланс!H25,"-")</f>
        <v>0</v>
      </c>
      <c r="H18" s="36">
        <f ca="1">IF(Баланс!I25&gt;0.01,Баланс!I20/Баланс!I25,"-")</f>
        <v>0</v>
      </c>
      <c r="I18" s="36">
        <f ca="1">IF(Баланс!J25&gt;0.01,Баланс!J20/Баланс!J25,"-")</f>
        <v>0</v>
      </c>
      <c r="J18" s="36">
        <f ca="1">IF(Баланс!K25&gt;0.01,Баланс!K20/Баланс!K25,"-")</f>
        <v>0</v>
      </c>
      <c r="K18" s="36">
        <f ca="1">IF(Баланс!L25&gt;0.01,Баланс!L20/Баланс!L25,"-")</f>
        <v>0</v>
      </c>
      <c r="L18" s="36">
        <f ca="1">IF(Баланс!M25&gt;0.01,Баланс!M20/Баланс!M25,"-")</f>
        <v>0</v>
      </c>
      <c r="M18" s="36">
        <f ca="1">IF(Баланс!N25&gt;0.01,Баланс!N20/Баланс!N25,"-")</f>
        <v>0</v>
      </c>
      <c r="N18" s="36">
        <f ca="1">IF(Баланс!O25&gt;0.01,Баланс!O20/Баланс!O25,"-")</f>
        <v>0</v>
      </c>
      <c r="O18" s="36">
        <f ca="1">IF(Баланс!P25&gt;0.01,Баланс!P20/Баланс!P25,"-")</f>
        <v>0</v>
      </c>
      <c r="P18" s="36">
        <f ca="1">IF(Баланс!Q25&gt;0.01,Баланс!Q20/Баланс!Q25,"-")</f>
        <v>0</v>
      </c>
      <c r="Q18" s="36">
        <f ca="1">IF(Баланс!R25&gt;0.01,Баланс!R20/Баланс!R25,"-")</f>
        <v>0</v>
      </c>
      <c r="R18" s="36" t="str">
        <f ca="1">IF(Баланс!S25&gt;0.01,Баланс!S20/Баланс!S25,"-")</f>
        <v>-</v>
      </c>
      <c r="S18" s="36" t="str">
        <f ca="1">IF(Баланс!T25&gt;0.01,Баланс!T20/Баланс!T25,"-")</f>
        <v>-</v>
      </c>
      <c r="T18" s="36" t="str">
        <f ca="1">IF(Баланс!U25&gt;0.01,Баланс!U20/Баланс!U25,"-")</f>
        <v>-</v>
      </c>
      <c r="U18" s="36" t="str">
        <f ca="1">IF(Баланс!V25&gt;0.01,Баланс!V20/Баланс!V25,"-")</f>
        <v>-</v>
      </c>
      <c r="V18" s="36" t="str">
        <f ca="1">IF(Баланс!W25&gt;0.01,Баланс!W20/Баланс!W25,"-")</f>
        <v>-</v>
      </c>
      <c r="W18" s="36" t="str">
        <f ca="1">IF(Баланс!X25&gt;0.01,Баланс!X20/Баланс!X25,"-")</f>
        <v>-</v>
      </c>
      <c r="X18" s="36" t="str">
        <f ca="1">IF(Баланс!Y25&gt;0.01,Баланс!Y20/Баланс!Y25,"-")</f>
        <v>-</v>
      </c>
      <c r="Y18" s="36" t="str">
        <f ca="1">IF(Баланс!Z25&gt;0.01,Баланс!Z20/Баланс!Z25,"-")</f>
        <v>-</v>
      </c>
    </row>
    <row r="19" spans="1:25" ht="12.75" customHeight="1">
      <c r="A19" s="35" t="s">
        <v>133</v>
      </c>
      <c r="B19" s="36" t="str">
        <f>IF(Баланс!C24&gt;0.01,(Баланс!C19+Баланс!C20)/Баланс!C24,"-")</f>
        <v>-</v>
      </c>
      <c r="C19" s="36" t="str">
        <f>IF(Баланс!D24&gt;0.01,(Баланс!D19+Баланс!D20)/Баланс!D24,"-")</f>
        <v>-</v>
      </c>
      <c r="D19" s="36" t="str">
        <f>IF(Баланс!E24&gt;0.01,(Баланс!E19+Баланс!E20)/Баланс!E24,"-")</f>
        <v>-</v>
      </c>
      <c r="E19" s="36" t="str">
        <f>IF(Баланс!F24&gt;0.01,(Баланс!F19+Баланс!F20)/Баланс!F24,"-")</f>
        <v>-</v>
      </c>
      <c r="F19" s="36" t="str">
        <f>IF(Баланс!G24&gt;0.01,(Баланс!G19+Баланс!G20)/Баланс!G24,"-")</f>
        <v>-</v>
      </c>
      <c r="G19" s="36">
        <f ca="1">IF(Баланс!H24&gt;0.01,(Баланс!H19+Баланс!H20)/Баланс!H24,"-")</f>
        <v>0</v>
      </c>
      <c r="H19" s="36">
        <f ca="1">IF(Баланс!I24&gt;0.01,(Баланс!I19+Баланс!I20)/Баланс!I24,"-")</f>
        <v>0</v>
      </c>
      <c r="I19" s="36">
        <f ca="1">IF(Баланс!J24&gt;0.01,(Баланс!J19+Баланс!J20)/Баланс!J24,"-")</f>
        <v>0</v>
      </c>
      <c r="J19" s="36">
        <f ca="1">IF(Баланс!K24&gt;0.01,(Баланс!K19+Баланс!K20)/Баланс!K24,"-")</f>
        <v>0</v>
      </c>
      <c r="K19" s="36">
        <f ca="1">IF(Баланс!L24&gt;0.01,(Баланс!L19+Баланс!L20)/Баланс!L24,"-")</f>
        <v>0</v>
      </c>
      <c r="L19" s="36">
        <f ca="1">IF(Баланс!M24&gt;0.01,(Баланс!M19+Баланс!M20)/Баланс!M24,"-")</f>
        <v>0</v>
      </c>
      <c r="M19" s="36">
        <f ca="1">IF(Баланс!N24&gt;0.01,(Баланс!N19+Баланс!N20)/Баланс!N24,"-")</f>
        <v>0</v>
      </c>
      <c r="N19" s="36">
        <f ca="1">IF(Баланс!O24&gt;0.01,(Баланс!O19+Баланс!O20)/Баланс!O24,"-")</f>
        <v>0</v>
      </c>
      <c r="O19" s="36">
        <f ca="1">IF(Баланс!P24&gt;0.01,(Баланс!P19+Баланс!P20)/Баланс!P24,"-")</f>
        <v>0</v>
      </c>
      <c r="P19" s="36">
        <f ca="1">IF(Баланс!Q24&gt;0.01,(Баланс!Q19+Баланс!Q20)/Баланс!Q24,"-")</f>
        <v>0</v>
      </c>
      <c r="Q19" s="36">
        <f ca="1">IF(Баланс!R24&gt;0.01,(Баланс!R19+Баланс!R20)/Баланс!R24,"-")</f>
        <v>0</v>
      </c>
      <c r="R19" s="36" t="str">
        <f>IF(Баланс!S24&gt;0.01,(Баланс!S19+Баланс!S20)/Баланс!S24,"-")</f>
        <v>-</v>
      </c>
      <c r="S19" s="36" t="str">
        <f>IF(Баланс!T24&gt;0.01,(Баланс!T19+Баланс!T20)/Баланс!T24,"-")</f>
        <v>-</v>
      </c>
      <c r="T19" s="36" t="str">
        <f>IF(Баланс!U24&gt;0.01,(Баланс!U19+Баланс!U20)/Баланс!U24,"-")</f>
        <v>-</v>
      </c>
      <c r="U19" s="36" t="str">
        <f>IF(Баланс!V24&gt;0.01,(Баланс!V19+Баланс!V20)/Баланс!V24,"-")</f>
        <v>-</v>
      </c>
      <c r="V19" s="36" t="str">
        <f>IF(Баланс!W24&gt;0.01,(Баланс!W19+Баланс!W20)/Баланс!W24,"-")</f>
        <v>-</v>
      </c>
      <c r="W19" s="36" t="str">
        <f>IF(Баланс!X24&gt;0.01,(Баланс!X19+Баланс!X20)/Баланс!X24,"-")</f>
        <v>-</v>
      </c>
      <c r="X19" s="36" t="str">
        <f>IF(Баланс!Y24&gt;0.01,(Баланс!Y19+Баланс!Y20)/Баланс!Y24,"-")</f>
        <v>-</v>
      </c>
      <c r="Y19" s="36" t="str">
        <f>IF(Баланс!Z24&gt;0.01,(Баланс!Z19+Баланс!Z20)/Баланс!Z24,"-")</f>
        <v>-</v>
      </c>
    </row>
    <row r="20" spans="1:25" ht="12.75" customHeight="1">
      <c r="A20" s="35" t="s">
        <v>134</v>
      </c>
      <c r="B20" s="36">
        <f ca="1">IF(Баланс!C15&gt;0.01,Баланс!C20/Баланс!C15,"-")</f>
        <v>0</v>
      </c>
      <c r="C20" s="36">
        <f ca="1">IF(Баланс!D15&gt;0.01,Баланс!D20/Баланс!D15,"-")</f>
        <v>0</v>
      </c>
      <c r="D20" s="36">
        <f ca="1">IF(Баланс!E15&gt;0.01,Баланс!E20/Баланс!E15,"-")</f>
        <v>0</v>
      </c>
      <c r="E20" s="36">
        <f ca="1">IF(Баланс!F15&gt;0.01,Баланс!F20/Баланс!F15,"-")</f>
        <v>0</v>
      </c>
      <c r="F20" s="36">
        <f ca="1">IF(Баланс!G15&gt;0.01,Баланс!G20/Баланс!G15,"-")</f>
        <v>0</v>
      </c>
      <c r="G20" s="36">
        <f ca="1">IF(Баланс!H15&gt;0.01,Баланс!H20/Баланс!H15,"-")</f>
        <v>0</v>
      </c>
      <c r="H20" s="36">
        <f ca="1">IF(Баланс!I15&gt;0.01,Баланс!I20/Баланс!I15,"-")</f>
        <v>0</v>
      </c>
      <c r="I20" s="36">
        <f ca="1">IF(Баланс!J15&gt;0.01,Баланс!J20/Баланс!J15,"-")</f>
        <v>0</v>
      </c>
      <c r="J20" s="36">
        <f ca="1">IF(Баланс!K15&gt;0.01,Баланс!K20/Баланс!K15,"-")</f>
        <v>0</v>
      </c>
      <c r="K20" s="36">
        <f ca="1">IF(Баланс!L15&gt;0.01,Баланс!L20/Баланс!L15,"-")</f>
        <v>0</v>
      </c>
      <c r="L20" s="36">
        <f ca="1">IF(Баланс!M15&gt;0.01,Баланс!M20/Баланс!M15,"-")</f>
        <v>0</v>
      </c>
      <c r="M20" s="36">
        <f ca="1">IF(Баланс!N15&gt;0.01,Баланс!N20/Баланс!N15,"-")</f>
        <v>0</v>
      </c>
      <c r="N20" s="36">
        <f ca="1">IF(Баланс!O15&gt;0.01,Баланс!O20/Баланс!O15,"-")</f>
        <v>0</v>
      </c>
      <c r="O20" s="36">
        <f ca="1">IF(Баланс!P15&gt;0.01,Баланс!P20/Баланс!P15,"-")</f>
        <v>0</v>
      </c>
      <c r="P20" s="36">
        <f ca="1">IF(Баланс!Q15&gt;0.01,Баланс!Q20/Баланс!Q15,"-")</f>
        <v>0</v>
      </c>
      <c r="Q20" s="36">
        <f ca="1">IF(Баланс!R15&gt;0.01,Баланс!R20/Баланс!R15,"-")</f>
        <v>0</v>
      </c>
      <c r="R20" s="36">
        <f ca="1">IF(Баланс!S15&gt;0.01,Баланс!S20/Баланс!S15,"-")</f>
        <v>0</v>
      </c>
      <c r="S20" s="36">
        <f ca="1">IF(Баланс!T15&gt;0.01,Баланс!T20/Баланс!T15,"-")</f>
        <v>0</v>
      </c>
      <c r="T20" s="36">
        <f ca="1">IF(Баланс!U15&gt;0.01,Баланс!U20/Баланс!U15,"-")</f>
        <v>0</v>
      </c>
      <c r="U20" s="36">
        <f ca="1">IF(Баланс!V15&gt;0.01,Баланс!V20/Баланс!V15,"-")</f>
        <v>0</v>
      </c>
      <c r="V20" s="36">
        <f ca="1">IF(Баланс!W15&gt;0.01,Баланс!W20/Баланс!W15,"-")</f>
        <v>0</v>
      </c>
      <c r="W20" s="36">
        <f ca="1">IF(Баланс!X15&gt;0.01,Баланс!X20/Баланс!X15,"-")</f>
        <v>0</v>
      </c>
      <c r="X20" s="36">
        <f ca="1">IF(Баланс!Y15&gt;0.01,Баланс!Y20/Баланс!Y15,"-")</f>
        <v>0</v>
      </c>
      <c r="Y20" s="36">
        <f ca="1">IF(Баланс!Z15&gt;0.01,Баланс!Z20/Баланс!Z15,"-")</f>
        <v>0</v>
      </c>
    </row>
    <row r="21" spans="1:25" ht="12.75" customHeight="1">
      <c r="A21" s="35" t="s">
        <v>114</v>
      </c>
      <c r="B21" s="36" t="str">
        <f>IF(Прибыль!C25&gt;0.01,Прибыль!C18/Прибыль!C25,"-")</f>
        <v>-</v>
      </c>
      <c r="C21" s="36" t="str">
        <f>IF(Прибыль!D25&gt;0.01,Прибыль!D18/Прибыль!D25,"-")</f>
        <v>-</v>
      </c>
      <c r="D21" s="36" t="str">
        <f>IF(Прибыль!E25&gt;0.01,Прибыль!E18/Прибыль!E25,"-")</f>
        <v>-</v>
      </c>
      <c r="E21" s="36" t="str">
        <f>IF(Прибыль!F25&gt;0.01,Прибыль!F18/Прибыль!F25,"-")</f>
        <v>-</v>
      </c>
      <c r="F21" s="36" t="str">
        <f>IF(Прибыль!G25&gt;0.01,Прибыль!G18/Прибыль!G25,"-")</f>
        <v>-</v>
      </c>
      <c r="G21" s="36" t="str">
        <f>IF(Прибыль!H25&gt;0.01,Прибыль!H18/Прибыль!H25,"-")</f>
        <v>-</v>
      </c>
      <c r="H21" s="36" t="str">
        <f>IF(Прибыль!I25&gt;0.01,Прибыль!I18/Прибыль!I25,"-")</f>
        <v>-</v>
      </c>
      <c r="I21" s="36" t="str">
        <f>IF(Прибыль!J25&gt;0.01,Прибыль!J18/Прибыль!J25,"-")</f>
        <v>-</v>
      </c>
      <c r="J21" s="36" t="str">
        <f>IF(Прибыль!K25&gt;0.01,Прибыль!K18/Прибыль!K25,"-")</f>
        <v>-</v>
      </c>
      <c r="K21" s="36" t="str">
        <f>IF(Прибыль!L25&gt;0.01,Прибыль!L18/Прибыль!L25,"-")</f>
        <v>-</v>
      </c>
      <c r="L21" s="36" t="str">
        <f>IF(Прибыль!M25&gt;0.01,Прибыль!M18/Прибыль!M25,"-")</f>
        <v>-</v>
      </c>
      <c r="M21" s="36" t="str">
        <f>IF(Прибыль!N25&gt;0.01,Прибыль!N18/Прибыль!N25,"-")</f>
        <v>-</v>
      </c>
      <c r="N21" s="36" t="str">
        <f>IF(Прибыль!O25&gt;0.01,Прибыль!O18/Прибыль!O25,"-")</f>
        <v>-</v>
      </c>
      <c r="O21" s="36" t="str">
        <f>IF(Прибыль!P25&gt;0.01,Прибыль!P18/Прибыль!P25,"-")</f>
        <v>-</v>
      </c>
      <c r="P21" s="36" t="str">
        <f>IF(Прибыль!Q25&gt;0.01,Прибыль!Q18/Прибыль!Q25,"-")</f>
        <v>-</v>
      </c>
      <c r="Q21" s="36" t="str">
        <f>IF(Прибыль!R25&gt;0.01,Прибыль!R18/Прибыль!R25,"-")</f>
        <v>-</v>
      </c>
      <c r="R21" s="36" t="str">
        <f>IF(Прибыль!S25&gt;0.01,Прибыль!S18/Прибыль!S25,"-")</f>
        <v>-</v>
      </c>
      <c r="S21" s="36" t="str">
        <f>IF(Прибыль!T25&gt;0.01,Прибыль!T18/Прибыль!T25,"-")</f>
        <v>-</v>
      </c>
      <c r="T21" s="36" t="str">
        <f>IF(Прибыль!U25&gt;0.01,Прибыль!U18/Прибыль!U25,"-")</f>
        <v>-</v>
      </c>
      <c r="U21" s="36" t="str">
        <f>IF(Прибыль!V25&gt;0.01,Прибыль!V18/Прибыль!V25,"-")</f>
        <v>-</v>
      </c>
      <c r="V21" s="36" t="str">
        <f>IF(Прибыль!W25&gt;0.01,Прибыль!W18/Прибыль!W25,"-")</f>
        <v>-</v>
      </c>
      <c r="W21" s="36" t="str">
        <f>IF(Прибыль!X25&gt;0.01,Прибыль!X18/Прибыль!X25,"-")</f>
        <v>-</v>
      </c>
      <c r="X21" s="36" t="str">
        <f>IF(Прибыль!Y25&gt;0.01,Прибыль!Y18/Прибыль!Y25,"-")</f>
        <v>-</v>
      </c>
      <c r="Y21" s="36" t="str">
        <f>IF(Прибыль!Z25&gt;0.01,Прибыль!Z18/Прибыль!Z25,"-")</f>
        <v>-</v>
      </c>
    </row>
    <row r="22" spans="1:25" ht="12.75" customHeight="1">
      <c r="A22" s="33" t="s">
        <v>115</v>
      </c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</row>
    <row r="23" spans="1:25" ht="12.75" customHeight="1">
      <c r="A23" s="35" t="s">
        <v>127</v>
      </c>
      <c r="B23" s="38" t="str">
        <f>IF(Прибыль!C2&gt;0.01,Прибыль!C28/Прибыль!C2,"-")</f>
        <v>-</v>
      </c>
      <c r="C23" s="38" t="str">
        <f>IF(Прибыль!D2&gt;0.01,Прибыль!D28/Прибыль!D2,"-")</f>
        <v>-</v>
      </c>
      <c r="D23" s="38" t="str">
        <f>IF(Прибыль!E2&gt;0.01,Прибыль!E28/Прибыль!E2,"-")</f>
        <v>-</v>
      </c>
      <c r="E23" s="38">
        <f>IF(Прибыль!F2&gt;0.01,Прибыль!F28/Прибыль!F2,"-")</f>
        <v>0.14595238095238094</v>
      </c>
      <c r="F23" s="38">
        <f>IF(Прибыль!G2&gt;0.01,Прибыль!G28/Прибыль!G2,"-")</f>
        <v>0.55112244897959184</v>
      </c>
      <c r="G23" s="38">
        <f>IF(Прибыль!H2&gt;0.01,Прибыль!H28/Прибыль!H2,"-")</f>
        <v>0.72982142857142862</v>
      </c>
      <c r="H23" s="38" t="str">
        <f>IF(Прибыль!I2&gt;0.01,Прибыль!I28/Прибыль!I2,"-")</f>
        <v>-</v>
      </c>
      <c r="I23" s="38" t="str">
        <f>IF(Прибыль!J2&gt;0.01,Прибыль!J28/Прибыль!J2,"-")</f>
        <v>-</v>
      </c>
      <c r="J23" s="38" t="str">
        <f>IF(Прибыль!K2&gt;0.01,Прибыль!K28/Прибыль!K2,"-")</f>
        <v>-</v>
      </c>
      <c r="K23" s="38" t="str">
        <f>IF(Прибыль!L2&gt;0.01,Прибыль!L28/Прибыль!L2,"-")</f>
        <v>-</v>
      </c>
      <c r="L23" s="38" t="str">
        <f>IF(Прибыль!M2&gt;0.01,Прибыль!M28/Прибыль!M2,"-")</f>
        <v>-</v>
      </c>
      <c r="M23" s="38" t="str">
        <f>IF(Прибыль!N2&gt;0.01,Прибыль!N28/Прибыль!N2,"-")</f>
        <v>-</v>
      </c>
      <c r="N23" s="38" t="str">
        <f>IF(Прибыль!O2&gt;0.01,Прибыль!O28/Прибыль!O2,"-")</f>
        <v>-</v>
      </c>
      <c r="O23" s="38" t="str">
        <f>IF(Прибыль!P2&gt;0.01,Прибыль!P28/Прибыль!P2,"-")</f>
        <v>-</v>
      </c>
      <c r="P23" s="38" t="str">
        <f>IF(Прибыль!Q2&gt;0.01,Прибыль!Q28/Прибыль!Q2,"-")</f>
        <v>-</v>
      </c>
      <c r="Q23" s="38" t="str">
        <f>IF(Прибыль!R2&gt;0.01,Прибыль!R28/Прибыль!R2,"-")</f>
        <v>-</v>
      </c>
      <c r="R23" s="38" t="str">
        <f>IF(Прибыль!S2&gt;0.01,Прибыль!S28/Прибыль!S2,"-")</f>
        <v>-</v>
      </c>
      <c r="S23" s="38" t="str">
        <f>IF(Прибыль!T2&gt;0.01,Прибыль!T28/Прибыль!T2,"-")</f>
        <v>-</v>
      </c>
      <c r="T23" s="38" t="str">
        <f>IF(Прибыль!U2&gt;0.01,Прибыль!U28/Прибыль!U2,"-")</f>
        <v>-</v>
      </c>
      <c r="U23" s="38" t="str">
        <f>IF(Прибыль!V2&gt;0.01,Прибыль!V28/Прибыль!V2,"-")</f>
        <v>-</v>
      </c>
      <c r="V23" s="38" t="str">
        <f>IF(Прибыль!W2&gt;0.01,Прибыль!W28/Прибыль!W2,"-")</f>
        <v>-</v>
      </c>
      <c r="W23" s="38" t="str">
        <f>IF(Прибыль!X2&gt;0.01,Прибыль!X28/Прибыль!X2,"-")</f>
        <v>-</v>
      </c>
      <c r="X23" s="38" t="str">
        <f>IF(Прибыль!Y2&gt;0.01,Прибыль!Y28/Прибыль!Y2,"-")</f>
        <v>-</v>
      </c>
      <c r="Y23" s="38" t="str">
        <f>IF(Прибыль!Z2&gt;0.01,Прибыль!Z28/Прибыль!Z2,"-")</f>
        <v>-</v>
      </c>
    </row>
    <row r="24" spans="1:25" ht="12.75" customHeight="1">
      <c r="A24" s="35" t="s">
        <v>128</v>
      </c>
      <c r="B24" s="38" t="str">
        <f>IF(Баланс!C24&gt;0.01,Прибыль!C28/Баланс!C24*12/Расчеты!$B$9,"-")</f>
        <v>-</v>
      </c>
      <c r="C24" s="38" t="str">
        <f>IF(Баланс!D24&gt;0.01,Прибыль!D28/Баланс!D24*12/Расчеты!$B$9,"-")</f>
        <v>-</v>
      </c>
      <c r="D24" s="38" t="str">
        <f>IF(Баланс!E24&gt;0.01,Прибыль!E28/Баланс!E24*12/Расчеты!$B$9,"-")</f>
        <v>-</v>
      </c>
      <c r="E24" s="38" t="str">
        <f>IF(Баланс!F24&gt;0.01,Прибыль!F28/Баланс!F24*12/Расчеты!$B$9,"-")</f>
        <v>-</v>
      </c>
      <c r="F24" s="38" t="str">
        <f>IF(Баланс!G24&gt;0.01,Прибыль!G28/Баланс!G24*12/Расчеты!$B$9,"-")</f>
        <v>-</v>
      </c>
      <c r="G24" s="38">
        <f>IF(Баланс!H24&gt;0.01,Прибыль!H28/Баланс!H24*12/Расчеты!$B$9,"-")</f>
        <v>12.743114498527628</v>
      </c>
      <c r="H24" s="38">
        <f>IF(Баланс!I24&gt;0.01,Прибыль!I28/Баланс!I24*12/Расчеты!$B$9,"-")</f>
        <v>-3.11877328250888E-3</v>
      </c>
      <c r="I24" s="38">
        <f>IF(Баланс!J24&gt;0.01,Прибыль!J28/Баланс!J24*12/Расчеты!$B$9,"-")</f>
        <v>-3.1195840554592721E-3</v>
      </c>
      <c r="J24" s="38">
        <f>IF(Баланс!K24&gt;0.01,Прибыль!K28/Баланс!K24*12/Расчеты!$B$9,"-")</f>
        <v>-3.1203952500650075E-3</v>
      </c>
      <c r="K24" s="38">
        <f>IF(Баланс!L24&gt;0.01,Прибыль!L28/Баланс!L24*12/Расчеты!$B$9,"-")</f>
        <v>-3.1212068666551063E-3</v>
      </c>
      <c r="L24" s="38">
        <f>IF(Баланс!M24&gt;0.01,Прибыль!M28/Баланс!M24*12/Расчеты!$B$9,"-")</f>
        <v>-3.1220189055589272E-3</v>
      </c>
      <c r="M24" s="38">
        <f>IF(Баланс!N24&gt;0.01,Прибыль!N28/Баланс!N24*12/Расчеты!$B$9,"-")</f>
        <v>-3.1228313671061757E-3</v>
      </c>
      <c r="N24" s="38">
        <f>IF(Баланс!O24&gt;0.01,Прибыль!O28/Баланс!O24*12/Расчеты!$B$9,"-")</f>
        <v>-3.855128939828079</v>
      </c>
      <c r="O24" s="38">
        <f>IF(Баланс!P24&gt;0.01,Прибыль!P28/Баланс!P24*12/Расчеты!$B$9,"-")</f>
        <v>-5.6798378926038469</v>
      </c>
      <c r="P24" s="38">
        <f>IF(Баланс!Q24&gt;0.01,Прибыль!Q28/Баланс!Q24*12/Расчеты!$B$9,"-")</f>
        <v>-10.784225713369658</v>
      </c>
      <c r="Q24" s="38">
        <f>IF(Баланс!R24&gt;0.01,Прибыль!R28/Баланс!R24*12/Расчеты!$B$9,"-")</f>
        <v>-106.44303797468241</v>
      </c>
      <c r="R24" s="38" t="str">
        <f>IF(Баланс!S24&gt;0.01,Прибыль!S28/Баланс!S24*12/Расчеты!$B$9,"-")</f>
        <v>-</v>
      </c>
      <c r="S24" s="38" t="str">
        <f>IF(Баланс!T24&gt;0.01,Прибыль!T28/Баланс!T24*12/Расчеты!$B$9,"-")</f>
        <v>-</v>
      </c>
      <c r="T24" s="38" t="str">
        <f>IF(Баланс!U24&gt;0.01,Прибыль!U28/Баланс!U24*12/Расчеты!$B$9,"-")</f>
        <v>-</v>
      </c>
      <c r="U24" s="38" t="str">
        <f>IF(Баланс!V24&gt;0.01,Прибыль!V28/Баланс!V24*12/Расчеты!$B$9,"-")</f>
        <v>-</v>
      </c>
      <c r="V24" s="38" t="str">
        <f>IF(Баланс!W24&gt;0.01,Прибыль!W28/Баланс!W24*12/Расчеты!$B$9,"-")</f>
        <v>-</v>
      </c>
      <c r="W24" s="38" t="str">
        <f>IF(Баланс!X24&gt;0.01,Прибыль!X28/Баланс!X24*12/Расчеты!$B$9,"-")</f>
        <v>-</v>
      </c>
      <c r="X24" s="38" t="str">
        <f>IF(Баланс!Y24&gt;0.01,Прибыль!Y28/Баланс!Y24*12/Расчеты!$B$9,"-")</f>
        <v>-</v>
      </c>
      <c r="Y24" s="38" t="str">
        <f>IF(Баланс!Z24&gt;0.01,Прибыль!Z28/Баланс!Z24*12/Расчеты!$B$9,"-")</f>
        <v>-</v>
      </c>
    </row>
    <row r="25" spans="1:25" ht="12.75" customHeight="1">
      <c r="A25" s="35" t="s">
        <v>129</v>
      </c>
      <c r="B25" s="38" t="str">
        <f>IF(Баланс!C6&gt;0.01,Прибыль!C28/Баланс!C6*12/Расчеты!$B$9,"-")</f>
        <v>-</v>
      </c>
      <c r="C25" s="38" t="str">
        <f>IF(Баланс!D6&gt;0.01,Прибыль!D28/Баланс!D6*12/Расчеты!$B$9,"-")</f>
        <v>-</v>
      </c>
      <c r="D25" s="38" t="str">
        <f>IF(Баланс!E6&gt;0.01,Прибыль!E28/Баланс!E6*12/Расчеты!$B$9,"-")</f>
        <v>-</v>
      </c>
      <c r="E25" s="38" t="str">
        <f>IF(Баланс!F6&gt;0.01,Прибыль!F28/Баланс!F6*12/Расчеты!$B$9,"-")</f>
        <v>-</v>
      </c>
      <c r="F25" s="38" t="str">
        <f>IF(Баланс!G6&gt;0.01,Прибыль!G28/Баланс!G6*12/Расчеты!$B$9,"-")</f>
        <v>-</v>
      </c>
      <c r="G25" s="38">
        <f>IF(Баланс!H6&gt;0.01,Прибыль!H28/Баланс!H6*12/Расчеты!$B$9,"-")</f>
        <v>38.077639751552795</v>
      </c>
      <c r="H25" s="38">
        <f>IF(Баланс!I6&gt;0.01,Прибыль!I28/Баланс!I6*12/Расчеты!$B$9,"-")</f>
        <v>-9.316770186335404E-3</v>
      </c>
      <c r="I25" s="38">
        <f>IF(Баланс!J6&gt;0.01,Прибыль!J28/Баланс!J6*12/Расчеты!$B$9,"-")</f>
        <v>-9.316770186335404E-3</v>
      </c>
      <c r="J25" s="38">
        <f>IF(Баланс!K6&gt;0.01,Прибыль!K28/Баланс!K6*12/Расчеты!$B$9,"-")</f>
        <v>-9.316770186335404E-3</v>
      </c>
      <c r="K25" s="38">
        <f>IF(Баланс!L6&gt;0.01,Прибыль!L28/Баланс!L6*12/Расчеты!$B$9,"-")</f>
        <v>-9.316770186335404E-3</v>
      </c>
      <c r="L25" s="38">
        <f>IF(Баланс!M6&gt;0.01,Прибыль!M28/Баланс!M6*12/Расчеты!$B$9,"-")</f>
        <v>-9.316770186335404E-3</v>
      </c>
      <c r="M25" s="38">
        <f>IF(Баланс!N6&gt;0.01,Прибыль!N28/Баланс!N6*12/Расчеты!$B$9,"-")</f>
        <v>-9.316770186335404E-3</v>
      </c>
      <c r="N25" s="38">
        <f>IF(Баланс!O6&gt;0.01,Прибыль!O28/Баланс!O6*12/Расчеты!$B$9,"-")</f>
        <v>-31.612781954887218</v>
      </c>
      <c r="O25" s="38" t="str">
        <f>IF(Баланс!P6&gt;0.01,Прибыль!P28/Баланс!P6*12/Расчеты!$B$9,"-")</f>
        <v>-</v>
      </c>
      <c r="P25" s="38" t="str">
        <f>IF(Баланс!Q6&gt;0.01,Прибыль!Q28/Баланс!Q6*12/Расчеты!$B$9,"-")</f>
        <v>-</v>
      </c>
      <c r="Q25" s="38" t="str">
        <f>IF(Баланс!R6&gt;0.01,Прибыль!R28/Баланс!R6*12/Расчеты!$B$9,"-")</f>
        <v>-</v>
      </c>
      <c r="R25" s="38" t="str">
        <f>IF(Баланс!S6&gt;0.01,Прибыль!S28/Баланс!S6*12/Расчеты!$B$9,"-")</f>
        <v>-</v>
      </c>
      <c r="S25" s="38" t="str">
        <f>IF(Баланс!T6&gt;0.01,Прибыль!T28/Баланс!T6*12/Расчеты!$B$9,"-")</f>
        <v>-</v>
      </c>
      <c r="T25" s="38" t="str">
        <f>IF(Баланс!U6&gt;0.01,Прибыль!U28/Баланс!U6*12/Расчеты!$B$9,"-")</f>
        <v>-</v>
      </c>
      <c r="U25" s="38" t="str">
        <f>IF(Баланс!V6&gt;0.01,Прибыль!V28/Баланс!V6*12/Расчеты!$B$9,"-")</f>
        <v>-</v>
      </c>
      <c r="V25" s="38" t="str">
        <f>IF(Баланс!W6&gt;0.01,Прибыль!W28/Баланс!W6*12/Расчеты!$B$9,"-")</f>
        <v>-</v>
      </c>
      <c r="W25" s="38" t="str">
        <f>IF(Баланс!X6&gt;0.01,Прибыль!X28/Баланс!X6*12/Расчеты!$B$9,"-")</f>
        <v>-</v>
      </c>
      <c r="X25" s="38" t="str">
        <f>IF(Баланс!Y6&gt;0.01,Прибыль!Y28/Баланс!Y6*12/Расчеты!$B$9,"-")</f>
        <v>-</v>
      </c>
      <c r="Y25" s="38" t="str">
        <f>IF(Баланс!Z6&gt;0.01,Прибыль!Z28/Баланс!Z6*12/Расчеты!$B$9,"-")</f>
        <v>-</v>
      </c>
    </row>
    <row r="26" spans="1:25" ht="12.75" customHeight="1">
      <c r="A26" s="35" t="s">
        <v>130</v>
      </c>
      <c r="B26" s="38">
        <f>IF(Баланс!C15&gt;0.01,Прибыль!C28/Баланс!C15*12/Расчеты!$B$9,"-")</f>
        <v>-8.468456375838926</v>
      </c>
      <c r="C26" s="38">
        <f>IF(Баланс!D15&gt;0.01,Прибыль!D28/Баланс!D15*12/Расчеты!$B$9,"-")</f>
        <v>-4.4744680851063832</v>
      </c>
      <c r="D26" s="38">
        <f>IF(Баланс!E15&gt;0.01,Прибыль!E28/Баланс!E15*12/Расчеты!$B$9,"-")</f>
        <v>-3.8421319796954316</v>
      </c>
      <c r="E26" s="38">
        <f>IF(Баланс!F15&gt;0.01,Прибыль!F28/Баланс!F15*12/Расчеты!$B$9,"-")</f>
        <v>0.93350253807106598</v>
      </c>
      <c r="F26" s="38">
        <f>IF(Баланс!G15&gt;0.01,Прибыль!G28/Баланс!G15*12/Расчеты!$B$9,"-")</f>
        <v>8.2248730964467001</v>
      </c>
      <c r="G26" s="38">
        <f>IF(Баланс!H15&gt;0.01,Прибыль!H28/Баланс!H15*12/Расчеты!$B$9,"-")</f>
        <v>18.671573604060917</v>
      </c>
      <c r="H26" s="38">
        <f>IF(Баланс!I15&gt;0.01,Прибыль!I28/Баланс!I15*12/Расчеты!$B$9,"-")</f>
        <v>-4.5685279187817254E-3</v>
      </c>
      <c r="I26" s="38">
        <f>IF(Баланс!J15&gt;0.01,Прибыль!J28/Баланс!J15*12/Расчеты!$B$9,"-")</f>
        <v>-4.5685279187817254E-3</v>
      </c>
      <c r="J26" s="38">
        <f>IF(Баланс!K15&gt;0.01,Прибыль!K28/Баланс!K15*12/Расчеты!$B$9,"-")</f>
        <v>-4.5685279187817254E-3</v>
      </c>
      <c r="K26" s="38">
        <f>IF(Баланс!L15&gt;0.01,Прибыль!L28/Баланс!L15*12/Расчеты!$B$9,"-")</f>
        <v>-4.5685279187817254E-3</v>
      </c>
      <c r="L26" s="38">
        <f>IF(Баланс!M15&gt;0.01,Прибыль!M28/Баланс!M15*12/Расчеты!$B$9,"-")</f>
        <v>-4.5685279187817254E-3</v>
      </c>
      <c r="M26" s="38">
        <f>IF(Баланс!N15&gt;0.01,Прибыль!N28/Баланс!N15*12/Расчеты!$B$9,"-")</f>
        <v>-4.5685279187817254E-3</v>
      </c>
      <c r="N26" s="38">
        <f>IF(Баланс!O15&gt;0.01,Прибыль!O28/Баланс!O15*12/Расчеты!$B$9,"-")</f>
        <v>-4.268527918781726</v>
      </c>
      <c r="O26" s="38">
        <f>IF(Баланс!P15&gt;0.01,Прибыль!P28/Баланс!P15*12/Расчеты!$B$9,"-")</f>
        <v>-4.268527918781726</v>
      </c>
      <c r="P26" s="38">
        <f>IF(Баланс!Q15&gt;0.01,Прибыль!Q28/Баланс!Q15*12/Расчеты!$B$9,"-")</f>
        <v>-4.268527918781726</v>
      </c>
      <c r="Q26" s="38">
        <f>IF(Баланс!R15&gt;0.01,Прибыль!R28/Баланс!R15*12/Расчеты!$B$9,"-")</f>
        <v>-4.268527918781726</v>
      </c>
      <c r="R26" s="38">
        <f>IF(Баланс!S15&gt;0.01,Прибыль!S28/Баланс!S15*12/Расчеты!$B$9,"-")</f>
        <v>-4.268527918781726</v>
      </c>
      <c r="S26" s="38">
        <f>IF(Баланс!T15&gt;0.01,Прибыль!T28/Баланс!T15*12/Расчеты!$B$9,"-")</f>
        <v>-4.268527918781726</v>
      </c>
      <c r="T26" s="38">
        <f>IF(Баланс!U15&gt;0.01,Прибыль!U28/Баланс!U15*12/Расчеты!$B$9,"-")</f>
        <v>-4.268527918781726</v>
      </c>
      <c r="U26" s="38">
        <f>IF(Баланс!V15&gt;0.01,Прибыль!V28/Баланс!V15*12/Расчеты!$B$9,"-")</f>
        <v>-4.268527918781726</v>
      </c>
      <c r="V26" s="38">
        <f>IF(Баланс!W15&gt;0.01,Прибыль!W28/Баланс!W15*12/Расчеты!$B$9,"-")</f>
        <v>-4.268527918781726</v>
      </c>
      <c r="W26" s="38">
        <f>IF(Баланс!X15&gt;0.01,Прибыль!X28/Баланс!X15*12/Расчеты!$B$9,"-")</f>
        <v>-4.268527918781726</v>
      </c>
      <c r="X26" s="38">
        <f>IF(Баланс!Y15&gt;0.01,Прибыль!Y28/Баланс!Y15*12/Расчеты!$B$9,"-")</f>
        <v>-4.268527918781726</v>
      </c>
      <c r="Y26" s="38">
        <f>IF(Баланс!Z15&gt;0.01,Прибыль!Z28/Баланс!Z15*12/Расчеты!$B$9,"-")</f>
        <v>-4.268527918781726</v>
      </c>
    </row>
    <row r="27" spans="1:25" ht="12.75" customHeight="1">
      <c r="A27" s="35" t="s">
        <v>131</v>
      </c>
      <c r="B27" s="38" t="str">
        <f ca="1">IF((Баланс!C24+Баланс!C20)&gt;0.01,Прибыль!C28/(Баланс!C24+Баланс!C20)*12/Расчеты!$B$9,"-")</f>
        <v>-</v>
      </c>
      <c r="C27" s="38" t="str">
        <f ca="1">IF((Баланс!D24+Баланс!D20)&gt;0.01,Прибыль!D28/(Баланс!D24+Баланс!D20)*12/Расчеты!$B$9,"-")</f>
        <v>-</v>
      </c>
      <c r="D27" s="38" t="str">
        <f ca="1">IF((Баланс!E24+Баланс!E20)&gt;0.01,Прибыль!E28/(Баланс!E24+Баланс!E20)*12/Расчеты!$B$9,"-")</f>
        <v>-</v>
      </c>
      <c r="E27" s="38" t="str">
        <f ca="1">IF((Баланс!F24+Баланс!F20)&gt;0.01,Прибыль!F28/(Баланс!F24+Баланс!F20)*12/Расчеты!$B$9,"-")</f>
        <v>-</v>
      </c>
      <c r="F27" s="38" t="str">
        <f ca="1">IF((Баланс!G24+Баланс!G20)&gt;0.01,Прибыль!G28/(Баланс!G24+Баланс!G20)*12/Расчеты!$B$9,"-")</f>
        <v>-</v>
      </c>
      <c r="G27" s="38">
        <f ca="1">IF((Баланс!H24+Баланс!H20)&gt;0.01,Прибыль!H28/(Баланс!H24+Баланс!H20)*12/Расчеты!$B$9,"-")</f>
        <v>12.743114498527628</v>
      </c>
      <c r="H27" s="38">
        <f ca="1">IF((Баланс!I24+Баланс!I20)&gt;0.01,Прибыль!I28/(Баланс!I24+Баланс!I20)*12/Расчеты!$B$9,"-")</f>
        <v>-3.11877328250888E-3</v>
      </c>
      <c r="I27" s="38">
        <f ca="1">IF((Баланс!J24+Баланс!J20)&gt;0.01,Прибыль!J28/(Баланс!J24+Баланс!J20)*12/Расчеты!$B$9,"-")</f>
        <v>-3.1195840554592721E-3</v>
      </c>
      <c r="J27" s="38">
        <f ca="1">IF((Баланс!K24+Баланс!K20)&gt;0.01,Прибыль!K28/(Баланс!K24+Баланс!K20)*12/Расчеты!$B$9,"-")</f>
        <v>-3.1203952500650075E-3</v>
      </c>
      <c r="K27" s="38">
        <f ca="1">IF((Баланс!L24+Баланс!L20)&gt;0.01,Прибыль!L28/(Баланс!L24+Баланс!L20)*12/Расчеты!$B$9,"-")</f>
        <v>-3.1212068666551063E-3</v>
      </c>
      <c r="L27" s="38">
        <f ca="1">IF((Баланс!M24+Баланс!M20)&gt;0.01,Прибыль!M28/(Баланс!M24+Баланс!M20)*12/Расчеты!$B$9,"-")</f>
        <v>-3.1220189055589272E-3</v>
      </c>
      <c r="M27" s="38">
        <f ca="1">IF((Баланс!N24+Баланс!N20)&gt;0.01,Прибыль!N28/(Баланс!N24+Баланс!N20)*12/Расчеты!$B$9,"-")</f>
        <v>-3.1228313671061757E-3</v>
      </c>
      <c r="N27" s="38">
        <f ca="1">IF((Баланс!O24+Баланс!O20)&gt;0.01,Прибыль!O28/(Баланс!O24+Баланс!O20)*12/Расчеты!$B$9,"-")</f>
        <v>-3.855128939828079</v>
      </c>
      <c r="O27" s="38">
        <f ca="1">IF((Баланс!P24+Баланс!P20)&gt;0.01,Прибыль!P28/(Баланс!P24+Баланс!P20)*12/Расчеты!$B$9,"-")</f>
        <v>-5.6798378926038469</v>
      </c>
      <c r="P27" s="38">
        <f ca="1">IF((Баланс!Q24+Баланс!Q20)&gt;0.01,Прибыль!Q28/(Баланс!Q24+Баланс!Q20)*12/Расчеты!$B$9,"-")</f>
        <v>-10.784225713369658</v>
      </c>
      <c r="Q27" s="38">
        <f ca="1">IF((Баланс!R24+Баланс!R20)&gt;0.01,Прибыль!R28/(Баланс!R24+Баланс!R20)*12/Расчеты!$B$9,"-")</f>
        <v>-106.44303797468241</v>
      </c>
      <c r="R27" s="38" t="str">
        <f ca="1">IF((Баланс!S24+Баланс!S20)&gt;0.01,Прибыль!S28/(Баланс!S24+Баланс!S20)*12/Расчеты!$B$9,"-")</f>
        <v>-</v>
      </c>
      <c r="S27" s="38" t="str">
        <f ca="1">IF((Баланс!T24+Баланс!T20)&gt;0.01,Прибыль!T28/(Баланс!T24+Баланс!T20)*12/Расчеты!$B$9,"-")</f>
        <v>-</v>
      </c>
      <c r="T27" s="38" t="str">
        <f ca="1">IF((Баланс!U24+Баланс!U20)&gt;0.01,Прибыль!U28/(Баланс!U24+Баланс!U20)*12/Расчеты!$B$9,"-")</f>
        <v>-</v>
      </c>
      <c r="U27" s="38" t="str">
        <f ca="1">IF((Баланс!V24+Баланс!V20)&gt;0.01,Прибыль!V28/(Баланс!V24+Баланс!V20)*12/Расчеты!$B$9,"-")</f>
        <v>-</v>
      </c>
      <c r="V27" s="38" t="str">
        <f ca="1">IF((Баланс!W24+Баланс!W20)&gt;0.01,Прибыль!W28/(Баланс!W24+Баланс!W20)*12/Расчеты!$B$9,"-")</f>
        <v>-</v>
      </c>
      <c r="W27" s="38" t="str">
        <f ca="1">IF((Баланс!X24+Баланс!X20)&gt;0.01,Прибыль!X28/(Баланс!X24+Баланс!X20)*12/Расчеты!$B$9,"-")</f>
        <v>-</v>
      </c>
      <c r="X27" s="38" t="str">
        <f ca="1">IF((Баланс!Y24+Баланс!Y20)&gt;0.01,Прибыль!Y28/(Баланс!Y24+Баланс!Y20)*12/Расчеты!$B$9,"-")</f>
        <v>-</v>
      </c>
      <c r="Y27" s="38" t="str">
        <f ca="1">IF((Баланс!Z24+Баланс!Z20)&gt;0.01,Прибыль!Z28/(Баланс!Z24+Баланс!Z20)*12/Расчеты!$B$9,"-")</f>
        <v>-</v>
      </c>
    </row>
    <row r="28" spans="1:25" ht="12.75" customHeight="1">
      <c r="A28" s="33" t="s">
        <v>116</v>
      </c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</row>
    <row r="29" spans="1:25" ht="12.75" customHeight="1">
      <c r="A29" s="35" t="s">
        <v>117</v>
      </c>
      <c r="B29" s="36" t="str">
        <f ca="1">IF(B14&gt;0.01,Прибыль!C2/B14*12/Расчеты!$B$9,"-")</f>
        <v>-</v>
      </c>
      <c r="C29" s="36" t="str">
        <f ca="1">IF(C14&gt;0.01,Прибыль!D2/C14*12/Расчеты!$B$9,"-")</f>
        <v>-</v>
      </c>
      <c r="D29" s="36" t="str">
        <f ca="1">IF(D14&gt;0.01,Прибыль!E2/D14*12/Расчеты!$B$9,"-")</f>
        <v>-</v>
      </c>
      <c r="E29" s="36" t="str">
        <f ca="1">IF(E14&gt;0.01,Прибыль!F2/E14*12/Расчеты!$B$9,"-")</f>
        <v>-</v>
      </c>
      <c r="F29" s="36" t="str">
        <f ca="1">IF(F14&gt;0.01,Прибыль!G2/F14*12/Расчеты!$B$9,"-")</f>
        <v>-</v>
      </c>
      <c r="G29" s="36">
        <f ca="1">IF(G14&gt;0.01,Прибыль!H2/G14*12/Расчеты!$B$9,"-")</f>
        <v>52.173913043478258</v>
      </c>
      <c r="H29" s="36">
        <f ca="1">IF(H14&gt;0.01,Прибыль!I2/H14*12/Расчеты!$B$9,"-")</f>
        <v>0</v>
      </c>
      <c r="I29" s="36">
        <f ca="1">IF(I14&gt;0.01,Прибыль!J2/I14*12/Расчеты!$B$9,"-")</f>
        <v>0</v>
      </c>
      <c r="J29" s="36">
        <f ca="1">IF(J14&gt;0.01,Прибыль!K2/J14*12/Расчеты!$B$9,"-")</f>
        <v>0</v>
      </c>
      <c r="K29" s="36">
        <f ca="1">IF(K14&gt;0.01,Прибыль!L2/K14*12/Расчеты!$B$9,"-")</f>
        <v>0</v>
      </c>
      <c r="L29" s="36">
        <f ca="1">IF(L14&gt;0.01,Прибыль!M2/L14*12/Расчеты!$B$9,"-")</f>
        <v>0</v>
      </c>
      <c r="M29" s="36">
        <f ca="1">IF(M14&gt;0.01,Прибыль!N2/M14*12/Расчеты!$B$9,"-")</f>
        <v>0</v>
      </c>
      <c r="N29" s="36">
        <f ca="1">IF(N14&gt;0.01,Прибыль!O2/N14*12/Расчеты!$B$9,"-")</f>
        <v>0</v>
      </c>
      <c r="O29" s="36" t="str">
        <f ca="1">IF(O14&gt;0.01,Прибыль!P2/O14*12/Расчеты!$B$9,"-")</f>
        <v>-</v>
      </c>
      <c r="P29" s="36" t="str">
        <f ca="1">IF(P14&gt;0.01,Прибыль!Q2/P14*12/Расчеты!$B$9,"-")</f>
        <v>-</v>
      </c>
      <c r="Q29" s="36" t="str">
        <f ca="1">IF(Q14&gt;0.01,Прибыль!R2/Q14*12/Расчеты!$B$9,"-")</f>
        <v>-</v>
      </c>
      <c r="R29" s="36" t="str">
        <f ca="1">IF(R14&gt;0.01,Прибыль!S2/R14*12/Расчеты!$B$9,"-")</f>
        <v>-</v>
      </c>
      <c r="S29" s="36" t="str">
        <f ca="1">IF(S14&gt;0.01,Прибыль!T2/S14*12/Расчеты!$B$9,"-")</f>
        <v>-</v>
      </c>
      <c r="T29" s="36" t="str">
        <f ca="1">IF(T14&gt;0.01,Прибыль!U2/T14*12/Расчеты!$B$9,"-")</f>
        <v>-</v>
      </c>
      <c r="U29" s="36" t="str">
        <f ca="1">IF(U14&gt;0.01,Прибыль!V2/U14*12/Расчеты!$B$9,"-")</f>
        <v>-</v>
      </c>
      <c r="V29" s="36" t="str">
        <f ca="1">IF(V14&gt;0.01,Прибыль!W2/V14*12/Расчеты!$B$9,"-")</f>
        <v>-</v>
      </c>
      <c r="W29" s="36" t="str">
        <f ca="1">IF(W14&gt;0.01,Прибыль!X2/W14*12/Расчеты!$B$9,"-")</f>
        <v>-</v>
      </c>
      <c r="X29" s="36" t="str">
        <f ca="1">IF(X14&gt;0.01,Прибыль!Y2/X14*12/Расчеты!$B$9,"-")</f>
        <v>-</v>
      </c>
      <c r="Y29" s="36" t="str">
        <f ca="1">IF(Y14&gt;0.01,Прибыль!Z2/Y14*12/Расчеты!$B$9,"-")</f>
        <v>-</v>
      </c>
    </row>
    <row r="30" spans="1:25" ht="12.75" customHeight="1">
      <c r="A30" s="35" t="s">
        <v>118</v>
      </c>
      <c r="B30" s="36">
        <f>IF(Баланс!C15&gt;0.01,Прибыль!C2/Баланс!C15*12/Расчеты!$B$9,"-")</f>
        <v>0</v>
      </c>
      <c r="C30" s="36">
        <f>IF(Баланс!D15&gt;0.01,Прибыль!D2/Баланс!D15*12/Расчеты!$B$9,"-")</f>
        <v>0</v>
      </c>
      <c r="D30" s="36">
        <f>IF(Баланс!E15&gt;0.01,Прибыль!E2/Баланс!E15*12/Расчеты!$B$9,"-")</f>
        <v>0</v>
      </c>
      <c r="E30" s="36">
        <f>IF(Баланс!F15&gt;0.01,Прибыль!F2/Баланс!F15*12/Расчеты!$B$9,"-")</f>
        <v>6.3959390862944172</v>
      </c>
      <c r="F30" s="36">
        <f>IF(Баланс!G15&gt;0.01,Прибыль!G2/Баланс!G15*12/Расчеты!$B$9,"-")</f>
        <v>14.923857868020306</v>
      </c>
      <c r="G30" s="36">
        <f>IF(Баланс!H15&gt;0.01,Прибыль!H2/Баланс!H15*12/Расчеты!$B$9,"-")</f>
        <v>25.583756345177669</v>
      </c>
      <c r="H30" s="36">
        <f>IF(Баланс!I15&gt;0.01,Прибыль!I2/Баланс!I15*12/Расчеты!$B$9,"-")</f>
        <v>0</v>
      </c>
      <c r="I30" s="36">
        <f>IF(Баланс!J15&gt;0.01,Прибыль!J2/Баланс!J15*12/Расчеты!$B$9,"-")</f>
        <v>0</v>
      </c>
      <c r="J30" s="36">
        <f>IF(Баланс!K15&gt;0.01,Прибыль!K2/Баланс!K15*12/Расчеты!$B$9,"-")</f>
        <v>0</v>
      </c>
      <c r="K30" s="36">
        <f>IF(Баланс!L15&gt;0.01,Прибыль!L2/Баланс!L15*12/Расчеты!$B$9,"-")</f>
        <v>0</v>
      </c>
      <c r="L30" s="36">
        <f>IF(Баланс!M15&gt;0.01,Прибыль!M2/Баланс!M15*12/Расчеты!$B$9,"-")</f>
        <v>0</v>
      </c>
      <c r="M30" s="36">
        <f>IF(Баланс!N15&gt;0.01,Прибыль!N2/Баланс!N15*12/Расчеты!$B$9,"-")</f>
        <v>0</v>
      </c>
      <c r="N30" s="36">
        <f>IF(Баланс!O15&gt;0.01,Прибыль!O2/Баланс!O15*12/Расчеты!$B$9,"-")</f>
        <v>0</v>
      </c>
      <c r="O30" s="36">
        <f>IF(Баланс!P15&gt;0.01,Прибыль!P2/Баланс!P15*12/Расчеты!$B$9,"-")</f>
        <v>0</v>
      </c>
      <c r="P30" s="36">
        <f>IF(Баланс!Q15&gt;0.01,Прибыль!Q2/Баланс!Q15*12/Расчеты!$B$9,"-")</f>
        <v>0</v>
      </c>
      <c r="Q30" s="36">
        <f>IF(Баланс!R15&gt;0.01,Прибыль!R2/Баланс!R15*12/Расчеты!$B$9,"-")</f>
        <v>0</v>
      </c>
      <c r="R30" s="36">
        <f>IF(Баланс!S15&gt;0.01,Прибыль!S2/Баланс!S15*12/Расчеты!$B$9,"-")</f>
        <v>0</v>
      </c>
      <c r="S30" s="36">
        <f>IF(Баланс!T15&gt;0.01,Прибыль!T2/Баланс!T15*12/Расчеты!$B$9,"-")</f>
        <v>0</v>
      </c>
      <c r="T30" s="36">
        <f>IF(Баланс!U15&gt;0.01,Прибыль!U2/Баланс!U15*12/Расчеты!$B$9,"-")</f>
        <v>0</v>
      </c>
      <c r="U30" s="36">
        <f>IF(Баланс!V15&gt;0.01,Прибыль!V2/Баланс!V15*12/Расчеты!$B$9,"-")</f>
        <v>0</v>
      </c>
      <c r="V30" s="36">
        <f>IF(Баланс!W15&gt;0.01,Прибыль!W2/Баланс!W15*12/Расчеты!$B$9,"-")</f>
        <v>0</v>
      </c>
      <c r="W30" s="36">
        <f>IF(Баланс!X15&gt;0.01,Прибыль!X2/Баланс!X15*12/Расчеты!$B$9,"-")</f>
        <v>0</v>
      </c>
      <c r="X30" s="36">
        <f>IF(Баланс!Y15&gt;0.01,Прибыль!Y2/Баланс!Y15*12/Расчеты!$B$9,"-")</f>
        <v>0</v>
      </c>
      <c r="Y30" s="36">
        <f>IF(Баланс!Z15&gt;0.01,Прибыль!Z2/Баланс!Z15*12/Расчеты!$B$9,"-")</f>
        <v>0</v>
      </c>
    </row>
    <row r="31" spans="1:25" ht="12.75" customHeight="1">
      <c r="A31" s="35" t="s">
        <v>119</v>
      </c>
      <c r="B31" s="36" t="str">
        <f>IF(Баланс!C16&gt;0.01,Прибыль!C2/Баланс!C16*12/Расчеты!$B$9,"-")</f>
        <v>-</v>
      </c>
      <c r="C31" s="36" t="str">
        <f>IF(Баланс!D16&gt;0.01,Прибыль!D2/Баланс!D16*12/Расчеты!$B$9,"-")</f>
        <v>-</v>
      </c>
      <c r="D31" s="36" t="str">
        <f>IF(Баланс!E16&gt;0.01,Прибыль!E2/Баланс!E16*12/Расчеты!$B$9,"-")</f>
        <v>-</v>
      </c>
      <c r="E31" s="36" t="str">
        <f>IF(Баланс!F16&gt;0.01,Прибыль!F2/Баланс!F16*12/Расчеты!$B$9,"-")</f>
        <v>-</v>
      </c>
      <c r="F31" s="36" t="str">
        <f>IF(Баланс!G16&gt;0.01,Прибыль!G2/Баланс!G16*12/Расчеты!$B$9,"-")</f>
        <v>-</v>
      </c>
      <c r="G31" s="36">
        <f>IF(Баланс!H16&gt;0.01,Прибыль!H2/Баланс!H16*12/Расчеты!$B$9,"-")</f>
        <v>17.166212534059945</v>
      </c>
      <c r="H31" s="36">
        <f>IF(Баланс!I16&gt;0.01,Прибыль!I2/Баланс!I16*12/Расчеты!$B$9,"-")</f>
        <v>0</v>
      </c>
      <c r="I31" s="36">
        <f>IF(Баланс!J16&gt;0.01,Прибыль!J2/Баланс!J16*12/Расчеты!$B$9,"-")</f>
        <v>0</v>
      </c>
      <c r="J31" s="36">
        <f>IF(Баланс!K16&gt;0.01,Прибыль!K2/Баланс!K16*12/Расчеты!$B$9,"-")</f>
        <v>0</v>
      </c>
      <c r="K31" s="36">
        <f>IF(Баланс!L16&gt;0.01,Прибыль!L2/Баланс!L16*12/Расчеты!$B$9,"-")</f>
        <v>0</v>
      </c>
      <c r="L31" s="36">
        <f>IF(Баланс!M16&gt;0.01,Прибыль!M2/Баланс!M16*12/Расчеты!$B$9,"-")</f>
        <v>0</v>
      </c>
      <c r="M31" s="36">
        <f>IF(Баланс!N16&gt;0.01,Прибыль!N2/Баланс!N16*12/Расчеты!$B$9,"-")</f>
        <v>0</v>
      </c>
      <c r="N31" s="36">
        <f>IF(Баланс!O16&gt;0.01,Прибыль!O2/Баланс!O16*12/Расчеты!$B$9,"-")</f>
        <v>0</v>
      </c>
      <c r="O31" s="36">
        <f>IF(Баланс!P16&gt;0.01,Прибыль!P2/Баланс!P16*12/Расчеты!$B$9,"-")</f>
        <v>0</v>
      </c>
      <c r="P31" s="36">
        <f>IF(Баланс!Q16&gt;0.01,Прибыль!Q2/Баланс!Q16*12/Расчеты!$B$9,"-")</f>
        <v>0</v>
      </c>
      <c r="Q31" s="36">
        <f>IF(Баланс!R16&gt;0.01,Прибыль!R2/Баланс!R16*12/Расчеты!$B$9,"-")</f>
        <v>0</v>
      </c>
      <c r="R31" s="36" t="str">
        <f>IF(Баланс!S16&gt;0.01,Прибыль!S2/Баланс!S16*12/Расчеты!$B$9,"-")</f>
        <v>-</v>
      </c>
      <c r="S31" s="36" t="str">
        <f>IF(Баланс!T16&gt;0.01,Прибыль!T2/Баланс!T16*12/Расчеты!$B$9,"-")</f>
        <v>-</v>
      </c>
      <c r="T31" s="36" t="str">
        <f>IF(Баланс!U16&gt;0.01,Прибыль!U2/Баланс!U16*12/Расчеты!$B$9,"-")</f>
        <v>-</v>
      </c>
      <c r="U31" s="36" t="str">
        <f>IF(Баланс!V16&gt;0.01,Прибыль!V2/Баланс!V16*12/Расчеты!$B$9,"-")</f>
        <v>-</v>
      </c>
      <c r="V31" s="36" t="str">
        <f>IF(Баланс!W16&gt;0.01,Прибыль!W2/Баланс!W16*12/Расчеты!$B$9,"-")</f>
        <v>-</v>
      </c>
      <c r="W31" s="36" t="str">
        <f>IF(Баланс!X16&gt;0.01,Прибыль!X2/Баланс!X16*12/Расчеты!$B$9,"-")</f>
        <v>-</v>
      </c>
      <c r="X31" s="36" t="str">
        <f>IF(Баланс!Y16&gt;0.01,Прибыль!Y2/Баланс!Y16*12/Расчеты!$B$9,"-")</f>
        <v>-</v>
      </c>
      <c r="Y31" s="36" t="str">
        <f>IF(Баланс!Z16&gt;0.01,Прибыль!Z2/Баланс!Z16*12/Расчеты!$B$9,"-")</f>
        <v>-</v>
      </c>
    </row>
    <row r="32" spans="1:25" ht="12.75" customHeight="1">
      <c r="A32" s="35" t="s">
        <v>11</v>
      </c>
      <c r="B32" s="36" t="str">
        <f>IF(Баланс!C4&gt;0.01,Прибыль!C3/Баланс!C4*12/Расчеты!$B$9,"-")</f>
        <v>-</v>
      </c>
      <c r="C32" s="36" t="str">
        <f>IF(Баланс!D4&gt;0.01,Прибыль!D3/Баланс!D4*12/Расчеты!$B$9,"-")</f>
        <v>-</v>
      </c>
      <c r="D32" s="36" t="str">
        <f>IF(Баланс!E4&gt;0.01,Прибыль!E3/Баланс!E4*12/Расчеты!$B$9,"-")</f>
        <v>-</v>
      </c>
      <c r="E32" s="36" t="str">
        <f>IF(Баланс!F4&gt;0.01,Прибыль!F3/Баланс!F4*12/Расчеты!$B$9,"-")</f>
        <v>-</v>
      </c>
      <c r="F32" s="36" t="str">
        <f>IF(Баланс!G4&gt;0.01,Прибыль!G3/Баланс!G4*12/Расчеты!$B$9,"-")</f>
        <v>-</v>
      </c>
      <c r="G32" s="36" t="str">
        <f>IF(Баланс!H4&gt;0.01,Прибыль!H3/Баланс!H4*12/Расчеты!$B$9,"-")</f>
        <v>-</v>
      </c>
      <c r="H32" s="36" t="str">
        <f>IF(Баланс!I4&gt;0.01,Прибыль!I3/Баланс!I4*12/Расчеты!$B$9,"-")</f>
        <v>-</v>
      </c>
      <c r="I32" s="36" t="str">
        <f>IF(Баланс!J4&gt;0.01,Прибыль!J3/Баланс!J4*12/Расчеты!$B$9,"-")</f>
        <v>-</v>
      </c>
      <c r="J32" s="36" t="str">
        <f>IF(Баланс!K4&gt;0.01,Прибыль!K3/Баланс!K4*12/Расчеты!$B$9,"-")</f>
        <v>-</v>
      </c>
      <c r="K32" s="36" t="str">
        <f>IF(Баланс!L4&gt;0.01,Прибыль!L3/Баланс!L4*12/Расчеты!$B$9,"-")</f>
        <v>-</v>
      </c>
      <c r="L32" s="36" t="str">
        <f>IF(Баланс!M4&gt;0.01,Прибыль!M3/Баланс!M4*12/Расчеты!$B$9,"-")</f>
        <v>-</v>
      </c>
      <c r="M32" s="36" t="str">
        <f>IF(Баланс!N4&gt;0.01,Прибыль!N3/Баланс!N4*12/Расчеты!$B$9,"-")</f>
        <v>-</v>
      </c>
      <c r="N32" s="36" t="str">
        <f>IF(Баланс!O4&gt;0.01,Прибыль!O3/Баланс!O4*12/Расчеты!$B$9,"-")</f>
        <v>-</v>
      </c>
      <c r="O32" s="36" t="str">
        <f>IF(Баланс!P4&gt;0.01,Прибыль!P3/Баланс!P4*12/Расчеты!$B$9,"-")</f>
        <v>-</v>
      </c>
      <c r="P32" s="36" t="str">
        <f>IF(Баланс!Q4&gt;0.01,Прибыль!Q3/Баланс!Q4*12/Расчеты!$B$9,"-")</f>
        <v>-</v>
      </c>
      <c r="Q32" s="36" t="str">
        <f>IF(Баланс!R4&gt;0.01,Прибыль!R3/Баланс!R4*12/Расчеты!$B$9,"-")</f>
        <v>-</v>
      </c>
      <c r="R32" s="36" t="str">
        <f>IF(Баланс!S4&gt;0.01,Прибыль!S3/Баланс!S4*12/Расчеты!$B$9,"-")</f>
        <v>-</v>
      </c>
      <c r="S32" s="36" t="str">
        <f>IF(Баланс!T4&gt;0.01,Прибыль!T3/Баланс!T4*12/Расчеты!$B$9,"-")</f>
        <v>-</v>
      </c>
      <c r="T32" s="36" t="str">
        <f>IF(Баланс!U4&gt;0.01,Прибыль!U3/Баланс!U4*12/Расчеты!$B$9,"-")</f>
        <v>-</v>
      </c>
      <c r="U32" s="36" t="str">
        <f>IF(Баланс!V4&gt;0.01,Прибыль!V3/Баланс!V4*12/Расчеты!$B$9,"-")</f>
        <v>-</v>
      </c>
      <c r="V32" s="36" t="str">
        <f>IF(Баланс!W4&gt;0.01,Прибыль!W3/Баланс!W4*12/Расчеты!$B$9,"-")</f>
        <v>-</v>
      </c>
      <c r="W32" s="36" t="str">
        <f>IF(Баланс!X4&gt;0.01,Прибыль!X3/Баланс!X4*12/Расчеты!$B$9,"-")</f>
        <v>-</v>
      </c>
      <c r="X32" s="36" t="str">
        <f>IF(Баланс!Y4&gt;0.01,Прибыль!Y3/Баланс!Y4*12/Расчеты!$B$9,"-")</f>
        <v>-</v>
      </c>
      <c r="Y32" s="36" t="str">
        <f>IF(Баланс!Z4&gt;0.01,Прибыль!Z3/Баланс!Z4*12/Расчеты!$B$9,"-")</f>
        <v>-</v>
      </c>
    </row>
    <row r="33" spans="1:25" ht="12.75" customHeight="1" thickBot="1">
      <c r="A33" s="39" t="s">
        <v>137</v>
      </c>
      <c r="B33" s="40" t="str">
        <f>IF(Баланс!C3&gt;0.01,Баланс!C3/Прибыль!C2*365,"-")</f>
        <v>-</v>
      </c>
      <c r="C33" s="40" t="str">
        <f>IF(Баланс!D3&gt;0.01,Баланс!D3/Прибыль!D2*365,"-")</f>
        <v>-</v>
      </c>
      <c r="D33" s="40" t="str">
        <f>IF(Баланс!E3&gt;0.01,Баланс!E3/Прибыль!E2*365,"-")</f>
        <v>-</v>
      </c>
      <c r="E33" s="40" t="str">
        <f>IF(Баланс!F3&gt;0.01,Баланс!F3/Прибыль!F2*365,"-")</f>
        <v>-</v>
      </c>
      <c r="F33" s="40" t="str">
        <f>IF(Баланс!G3&gt;0.01,Баланс!G3/Прибыль!G2*365,"-")</f>
        <v>-</v>
      </c>
      <c r="G33" s="40" t="str">
        <f>IF(Баланс!H3&gt;0.01,Баланс!H3/Прибыль!H2*365,"-")</f>
        <v>-</v>
      </c>
      <c r="H33" s="40" t="str">
        <f>IF(Баланс!I3&gt;0.01,Баланс!I3/Прибыль!I2*365,"-")</f>
        <v>-</v>
      </c>
      <c r="I33" s="40" t="str">
        <f>IF(Баланс!J3&gt;0.01,Баланс!J3/Прибыль!J2*365,"-")</f>
        <v>-</v>
      </c>
      <c r="J33" s="40" t="str">
        <f>IF(Баланс!K3&gt;0.01,Баланс!K3/Прибыль!K2*365,"-")</f>
        <v>-</v>
      </c>
      <c r="K33" s="40" t="str">
        <f>IF(Баланс!L3&gt;0.01,Баланс!L3/Прибыль!L2*365,"-")</f>
        <v>-</v>
      </c>
      <c r="L33" s="40" t="str">
        <f>IF(Баланс!M3&gt;0.01,Баланс!M3/Прибыль!M2*365,"-")</f>
        <v>-</v>
      </c>
      <c r="M33" s="40" t="str">
        <f>IF(Баланс!N3&gt;0.01,Баланс!N3/Прибыль!N2*365,"-")</f>
        <v>-</v>
      </c>
      <c r="N33" s="40" t="str">
        <f>IF(Баланс!O3&gt;0.01,Баланс!O3/Прибыль!O2*365,"-")</f>
        <v>-</v>
      </c>
      <c r="O33" s="40" t="str">
        <f>IF(Баланс!P3&gt;0.01,Баланс!P3/Прибыль!P2*365,"-")</f>
        <v>-</v>
      </c>
      <c r="P33" s="40" t="str">
        <f>IF(Баланс!Q3&gt;0.01,Баланс!Q3/Прибыль!Q2*365,"-")</f>
        <v>-</v>
      </c>
      <c r="Q33" s="40" t="str">
        <f>IF(Баланс!R3&gt;0.01,Баланс!R3/Прибыль!R2*365,"-")</f>
        <v>-</v>
      </c>
      <c r="R33" s="40" t="str">
        <f>IF(Баланс!S3&gt;0.01,Баланс!S3/Прибыль!S2*365,"-")</f>
        <v>-</v>
      </c>
      <c r="S33" s="40" t="str">
        <f>IF(Баланс!T3&gt;0.01,Баланс!T3/Прибыль!T2*365,"-")</f>
        <v>-</v>
      </c>
      <c r="T33" s="40" t="str">
        <f>IF(Баланс!U3&gt;0.01,Баланс!U3/Прибыль!U2*365,"-")</f>
        <v>-</v>
      </c>
      <c r="U33" s="40" t="str">
        <f>IF(Баланс!V3&gt;0.01,Баланс!V3/Прибыль!V2*365,"-")</f>
        <v>-</v>
      </c>
      <c r="V33" s="40" t="str">
        <f>IF(Баланс!W3&gt;0.01,Баланс!W3/Прибыль!W2*365,"-")</f>
        <v>-</v>
      </c>
      <c r="W33" s="40" t="str">
        <f>IF(Баланс!X3&gt;0.01,Баланс!X3/Прибыль!X2*365,"-")</f>
        <v>-</v>
      </c>
      <c r="X33" s="40" t="str">
        <f>IF(Баланс!Y3&gt;0.01,Баланс!Y3/Прибыль!Y2*365,"-")</f>
        <v>-</v>
      </c>
      <c r="Y33" s="40" t="str">
        <f>IF(Баланс!Z3&gt;0.01,Баланс!Z3/Прибыль!Z2*365,"-")</f>
        <v>-</v>
      </c>
    </row>
    <row r="34" spans="1:25" ht="12.75" customHeight="1" thickBot="1"/>
    <row r="35" spans="1:25" ht="12.75" customHeight="1">
      <c r="A35" s="41" t="s">
        <v>135</v>
      </c>
      <c r="B35" s="42">
        <f>'Кэш-фло'!C8+'Кэш-фло'!C13+'Кэш-фло'!C18</f>
        <v>-350000</v>
      </c>
      <c r="C35" s="42">
        <f>'Кэш-фло'!D8+'Кэш-фло'!D13+'Кэш-фло'!D18</f>
        <v>-340000</v>
      </c>
      <c r="D35" s="42">
        <f>'Кэш-фло'!E8+'Кэш-фло'!E13+'Кэш-фло'!E18</f>
        <v>-340000</v>
      </c>
      <c r="E35" s="42">
        <f>'Кэш-фло'!F8+'Кэш-фло'!F13+'Кэш-фло'!F18</f>
        <v>44000</v>
      </c>
      <c r="F35" s="42">
        <f>'Кэш-фло'!G8+'Кэш-фло'!G13+'Кэш-фло'!G18</f>
        <v>386000</v>
      </c>
      <c r="G35" s="42">
        <f>'Кэш-фло'!H8+'Кэш-фло'!H13+'Кэш-фло'!H18</f>
        <v>876000</v>
      </c>
      <c r="H35" s="42">
        <f>'Кэш-фло'!I8+'Кэш-фло'!I13+'Кэш-фло'!I18</f>
        <v>0</v>
      </c>
      <c r="I35" s="42">
        <f>'Кэш-фло'!J8+'Кэш-фло'!J13+'Кэш-фло'!J18</f>
        <v>0</v>
      </c>
      <c r="J35" s="42">
        <f>'Кэш-фло'!K8+'Кэш-фло'!K13+'Кэш-фло'!K18</f>
        <v>0</v>
      </c>
      <c r="K35" s="42">
        <f>'Кэш-фло'!L8+'Кэш-фло'!L13+'Кэш-фло'!L18</f>
        <v>0</v>
      </c>
      <c r="L35" s="42">
        <f>'Кэш-фло'!M8+'Кэш-фло'!M13+'Кэш-фло'!M18</f>
        <v>0</v>
      </c>
      <c r="M35" s="42">
        <f>'Кэш-фло'!N8+'Кэш-фло'!N13+'Кэш-фло'!N18</f>
        <v>0</v>
      </c>
      <c r="N35" s="42">
        <f>'Кэш-фло'!O8+'Кэш-фло'!O13+'Кэш-фло'!O18</f>
        <v>-200000</v>
      </c>
      <c r="O35" s="42">
        <f>'Кэш-фло'!P8+'Кэш-фло'!P13+'Кэш-фло'!P18</f>
        <v>-200000</v>
      </c>
      <c r="P35" s="42">
        <f>'Кэш-фло'!Q8+'Кэш-фло'!Q13+'Кэш-фло'!Q18</f>
        <v>-200000</v>
      </c>
      <c r="Q35" s="42">
        <f>'Кэш-фло'!R8+'Кэш-фло'!R13+'Кэш-фло'!R18</f>
        <v>-200000</v>
      </c>
      <c r="R35" s="42">
        <f>'Кэш-фло'!S8+'Кэш-фло'!S13+'Кэш-фло'!S18</f>
        <v>-200000</v>
      </c>
      <c r="S35" s="42">
        <f>'Кэш-фло'!T8+'Кэш-фло'!T13+'Кэш-фло'!T18</f>
        <v>-200000</v>
      </c>
      <c r="T35" s="42">
        <f>'Кэш-фло'!U8+'Кэш-фло'!U13+'Кэш-фло'!U18</f>
        <v>-200000</v>
      </c>
      <c r="U35" s="42">
        <f>'Кэш-фло'!V8+'Кэш-фло'!V13+'Кэш-фло'!V18</f>
        <v>-200000</v>
      </c>
      <c r="V35" s="42">
        <f>'Кэш-фло'!W8+'Кэш-фло'!W13+'Кэш-фло'!W18</f>
        <v>-200000</v>
      </c>
      <c r="W35" s="42">
        <f>'Кэш-фло'!X8+'Кэш-фло'!X13+'Кэш-фло'!X18</f>
        <v>-200000</v>
      </c>
      <c r="X35" s="42">
        <f>'Кэш-фло'!Y8+'Кэш-фло'!Y13+'Кэш-фло'!Y18</f>
        <v>-200000</v>
      </c>
      <c r="Y35" s="42">
        <f>'Кэш-фло'!Z8+'Кэш-фло'!Z13+'Кэш-фло'!Z18</f>
        <v>-200000</v>
      </c>
    </row>
    <row r="36" spans="1:25" ht="12.75" customHeight="1">
      <c r="A36" s="43" t="s">
        <v>136</v>
      </c>
      <c r="B36" s="44">
        <f>B35/POWER(1+Данные!$B$34,0.0833333*Расчеты!$B$9*Расчеты!B1)</f>
        <v>-343551.78801119194</v>
      </c>
      <c r="C36" s="44">
        <f>C35/POWER(1+Данные!$B$34,0.0833333*Расчеты!$B$9*Расчеты!C1)</f>
        <v>-327587.44943292707</v>
      </c>
      <c r="D36" s="44">
        <f>D35/POWER(1+Данные!$B$34,0.0833333*Расчеты!$B$9*Расчеты!D1)</f>
        <v>-321552.15423630865</v>
      </c>
      <c r="E36" s="44">
        <f>E35/POWER(1+Данные!$B$34,0.0833333*Расчеты!$B$9*Расчеты!E1)</f>
        <v>40845.982951061458</v>
      </c>
      <c r="F36" s="44">
        <f>F35/POWER(1+Данные!$B$34,0.0833333*Расчеты!$B$9*Расчеты!F1)</f>
        <v>351728.97686376399</v>
      </c>
      <c r="G36" s="44">
        <f>G35/POWER(1+Данные!$B$34,0.0833333*Расчеты!$B$9*Расчеты!G1)</f>
        <v>783518.25428333471</v>
      </c>
      <c r="H36" s="44">
        <f>H35/POWER(1+Данные!$B$34,0.0833333*Расчеты!$B$9*Расчеты!H1)</f>
        <v>0</v>
      </c>
      <c r="I36" s="44">
        <f>I35/POWER(1+Данные!$B$34,0.0833333*Расчеты!$B$9*Расчеты!I1)</f>
        <v>0</v>
      </c>
      <c r="J36" s="44">
        <f>J35/POWER(1+Данные!$B$34,0.0833333*Расчеты!$B$9*Расчеты!J1)</f>
        <v>0</v>
      </c>
      <c r="K36" s="44">
        <f>K35/POWER(1+Данные!$B$34,0.0833333*Расчеты!$B$9*Расчеты!K1)</f>
        <v>0</v>
      </c>
      <c r="L36" s="44">
        <f>L35/POWER(1+Данные!$B$34,0.0833333*Расчеты!$B$9*Расчеты!L1)</f>
        <v>0</v>
      </c>
      <c r="M36" s="44">
        <f>M35/POWER(1+Данные!$B$34,0.0833333*Расчеты!$B$9*Расчеты!M1)</f>
        <v>0</v>
      </c>
      <c r="N36" s="44">
        <f>N35/POWER(1+Данные!$B$34,0.0833333*Расчеты!$B$9*Расчеты!N1)</f>
        <v>-157052.25996605246</v>
      </c>
      <c r="O36" s="44">
        <f>O35/POWER(1+Данные!$B$34,0.0833333*Расчеты!$B$9*Расчеты!O1)</f>
        <v>-154158.8134929596</v>
      </c>
      <c r="P36" s="44">
        <f>P35/POWER(1+Данные!$B$34,0.0833333*Расчеты!$B$9*Расчеты!P1)</f>
        <v>-151318.67432340037</v>
      </c>
      <c r="Q36" s="44">
        <f>Q35/POWER(1+Данные!$B$34,0.0833333*Расчеты!$B$9*Расчеты!Q1)</f>
        <v>-148530.86035224982</v>
      </c>
      <c r="R36" s="44">
        <f>R35/POWER(1+Данные!$B$34,0.0833333*Расчеты!$B$9*Расчеты!R1)</f>
        <v>-145794.40756816024</v>
      </c>
      <c r="S36" s="44">
        <f>S35/POWER(1+Данные!$B$34,0.0833333*Расчеты!$B$9*Расчеты!S1)</f>
        <v>-143108.36972021117</v>
      </c>
      <c r="T36" s="44">
        <f>T35/POWER(1+Данные!$B$34,0.0833333*Расчеты!$B$9*Расчеты!T1)</f>
        <v>-140471.81799070077</v>
      </c>
      <c r="U36" s="44">
        <f>U35/POWER(1+Данные!$B$34,0.0833333*Расчеты!$B$9*Расчеты!U1)</f>
        <v>-137883.84067396561</v>
      </c>
      <c r="V36" s="44">
        <f>V35/POWER(1+Данные!$B$34,0.0833333*Расчеты!$B$9*Расчеты!V1)</f>
        <v>-135343.54286111772</v>
      </c>
      <c r="W36" s="44">
        <f>W35/POWER(1+Данные!$B$34,0.0833333*Расчеты!$B$9*Расчеты!W1)</f>
        <v>-132850.04613058968</v>
      </c>
      <c r="X36" s="44">
        <f>X35/POWER(1+Данные!$B$34,0.0833333*Расчеты!$B$9*Расчеты!X1)</f>
        <v>-130402.48824438117</v>
      </c>
      <c r="Y36" s="44">
        <f>Y35/POWER(1+Данные!$B$34,0.0833333*Расчеты!$B$9*Расчеты!Y1)</f>
        <v>-128000.0228499017</v>
      </c>
    </row>
    <row r="37" spans="1:25" ht="12.75" customHeight="1" thickBot="1">
      <c r="A37" s="45" t="s">
        <v>121</v>
      </c>
      <c r="B37" s="46">
        <f>B36</f>
        <v>-343551.78801119194</v>
      </c>
      <c r="C37" s="46">
        <f>B37+C36</f>
        <v>-671139.23744411906</v>
      </c>
      <c r="D37" s="46">
        <f t="shared" ref="D37:M37" si="0">C37+D36</f>
        <v>-992691.39168042771</v>
      </c>
      <c r="E37" s="46">
        <f t="shared" si="0"/>
        <v>-951845.40872936626</v>
      </c>
      <c r="F37" s="46">
        <f t="shared" si="0"/>
        <v>-600116.43186560227</v>
      </c>
      <c r="G37" s="46">
        <f t="shared" si="0"/>
        <v>183401.82241773244</v>
      </c>
      <c r="H37" s="46">
        <f t="shared" si="0"/>
        <v>183401.82241773244</v>
      </c>
      <c r="I37" s="46">
        <f t="shared" si="0"/>
        <v>183401.82241773244</v>
      </c>
      <c r="J37" s="46">
        <f t="shared" si="0"/>
        <v>183401.82241773244</v>
      </c>
      <c r="K37" s="46">
        <f t="shared" si="0"/>
        <v>183401.82241773244</v>
      </c>
      <c r="L37" s="46">
        <f t="shared" si="0"/>
        <v>183401.82241773244</v>
      </c>
      <c r="M37" s="46">
        <f t="shared" si="0"/>
        <v>183401.82241773244</v>
      </c>
      <c r="N37" s="46">
        <f t="shared" ref="N37:Y37" si="1">M37+N36</f>
        <v>26349.562451679987</v>
      </c>
      <c r="O37" s="46">
        <f t="shared" si="1"/>
        <v>-127809.25104127961</v>
      </c>
      <c r="P37" s="46">
        <f t="shared" si="1"/>
        <v>-279127.92536468001</v>
      </c>
      <c r="Q37" s="46">
        <f t="shared" si="1"/>
        <v>-427658.78571692982</v>
      </c>
      <c r="R37" s="46">
        <f t="shared" si="1"/>
        <v>-573453.19328509003</v>
      </c>
      <c r="S37" s="46">
        <f t="shared" si="1"/>
        <v>-716561.56300530117</v>
      </c>
      <c r="T37" s="46">
        <f t="shared" si="1"/>
        <v>-857033.38099600188</v>
      </c>
      <c r="U37" s="46">
        <f t="shared" si="1"/>
        <v>-994917.22166996752</v>
      </c>
      <c r="V37" s="46">
        <f t="shared" si="1"/>
        <v>-1130260.7645310853</v>
      </c>
      <c r="W37" s="46">
        <f t="shared" si="1"/>
        <v>-1263110.8106616749</v>
      </c>
      <c r="X37" s="46">
        <f t="shared" si="1"/>
        <v>-1393513.2989060562</v>
      </c>
      <c r="Y37" s="46">
        <f t="shared" si="1"/>
        <v>-1521513.3217559578</v>
      </c>
    </row>
    <row r="38" spans="1:25" ht="12.75" customHeight="1">
      <c r="A38" s="47" t="s">
        <v>122</v>
      </c>
      <c r="B38" s="48">
        <f ca="1">SUM($B$36:INDIRECT(ADDRESS(36,1+Расчеты!B10,,1)))</f>
        <v>183401.82241773244</v>
      </c>
      <c r="C38" s="49" t="s">
        <v>124</v>
      </c>
    </row>
    <row r="39" spans="1:25" ht="12.75" customHeight="1">
      <c r="A39" s="50" t="s">
        <v>123</v>
      </c>
      <c r="B39" s="51">
        <f ca="1">(POWER(1+IRR($B$36:INDIRECT(ADDRESS(36,1+Расчеты!B10,,1)),0.1),12/Расчеты!B9)-1)*100</f>
        <v>74.287362005873533</v>
      </c>
      <c r="C39" s="52" t="s">
        <v>14</v>
      </c>
    </row>
    <row r="40" spans="1:25" ht="12.75" customHeight="1" thickBot="1">
      <c r="A40" s="53" t="s">
        <v>194</v>
      </c>
      <c r="B40" s="54">
        <f ca="1">Расчеты!B30</f>
        <v>5</v>
      </c>
      <c r="C40" s="55" t="s">
        <v>195</v>
      </c>
    </row>
    <row r="41" spans="1:25" ht="12" thickBot="1"/>
    <row r="42" spans="1:25" s="58" customFormat="1" ht="26.1" customHeight="1" thickBot="1">
      <c r="A42" s="56" t="s">
        <v>217</v>
      </c>
      <c r="B42" s="57"/>
    </row>
    <row r="44" spans="1:25" s="33" customFormat="1">
      <c r="A44" s="33" t="s">
        <v>238</v>
      </c>
      <c r="B44" s="320">
        <f t="shared" ref="B44:M44" si="2">SUM(B45:B64)</f>
        <v>0</v>
      </c>
      <c r="C44" s="320">
        <f t="shared" si="2"/>
        <v>0</v>
      </c>
      <c r="D44" s="320">
        <f t="shared" si="2"/>
        <v>0</v>
      </c>
      <c r="E44" s="320">
        <f t="shared" si="2"/>
        <v>300000</v>
      </c>
      <c r="F44" s="320">
        <f t="shared" si="2"/>
        <v>700000</v>
      </c>
      <c r="G44" s="320">
        <f t="shared" si="2"/>
        <v>1200000</v>
      </c>
      <c r="H44" s="320">
        <f t="shared" si="2"/>
        <v>0</v>
      </c>
      <c r="I44" s="320">
        <f t="shared" si="2"/>
        <v>0</v>
      </c>
      <c r="J44" s="320">
        <f t="shared" si="2"/>
        <v>0</v>
      </c>
      <c r="K44" s="320">
        <f t="shared" si="2"/>
        <v>0</v>
      </c>
      <c r="L44" s="320">
        <f t="shared" si="2"/>
        <v>0</v>
      </c>
      <c r="M44" s="320">
        <f t="shared" si="2"/>
        <v>0</v>
      </c>
    </row>
    <row r="45" spans="1:25" s="89" customFormat="1" ht="12.75" customHeight="1">
      <c r="A45" s="315" t="str">
        <f>"    " &amp; Данные!A13</f>
        <v xml:space="preserve">    товар1</v>
      </c>
      <c r="B45" s="316">
        <f>Данные!C41*Данные!C63</f>
        <v>0</v>
      </c>
      <c r="C45" s="316">
        <f>Данные!D41*Данные!D63</f>
        <v>0</v>
      </c>
      <c r="D45" s="316">
        <f>Данные!E41*Данные!E63</f>
        <v>0</v>
      </c>
      <c r="E45" s="316">
        <f>Данные!F41*Данные!F63</f>
        <v>300000</v>
      </c>
      <c r="F45" s="316">
        <f>Данные!G41*Данные!G63</f>
        <v>700000</v>
      </c>
      <c r="G45" s="316">
        <f>Данные!H41*Данные!H63</f>
        <v>1200000</v>
      </c>
      <c r="H45" s="316">
        <f>Данные!I41*Данные!I63</f>
        <v>0</v>
      </c>
      <c r="I45" s="316">
        <f>Данные!J41*Данные!J63</f>
        <v>0</v>
      </c>
      <c r="J45" s="316">
        <f>Данные!K41*Данные!K63</f>
        <v>0</v>
      </c>
      <c r="K45" s="316">
        <f>Данные!L41*Данные!L63</f>
        <v>0</v>
      </c>
      <c r="L45" s="316">
        <f>Данные!M41*Данные!M63</f>
        <v>0</v>
      </c>
      <c r="M45" s="316">
        <f>Данные!N41*Данные!N63</f>
        <v>0</v>
      </c>
      <c r="N45" s="316">
        <f>Данные!O41*Данные!O63</f>
        <v>0</v>
      </c>
      <c r="O45" s="316">
        <f>Данные!P41*Данные!P63</f>
        <v>0</v>
      </c>
      <c r="P45" s="316">
        <f>Данные!Q41*Данные!Q63</f>
        <v>0</v>
      </c>
      <c r="Q45" s="316">
        <f>Данные!R41*Данные!R63</f>
        <v>0</v>
      </c>
      <c r="R45" s="316">
        <f>Данные!S41*Данные!S63</f>
        <v>0</v>
      </c>
      <c r="S45" s="316">
        <f>Данные!T41*Данные!T63</f>
        <v>0</v>
      </c>
      <c r="T45" s="316">
        <f>Данные!U41*Данные!U63</f>
        <v>0</v>
      </c>
      <c r="U45" s="316">
        <f>Данные!V41*Данные!V63</f>
        <v>0</v>
      </c>
      <c r="V45" s="316">
        <f>Данные!W41*Данные!W63</f>
        <v>0</v>
      </c>
      <c r="W45" s="316">
        <f>Данные!X41*Данные!X63</f>
        <v>0</v>
      </c>
      <c r="X45" s="316">
        <f>Данные!Y41*Данные!Y63</f>
        <v>0</v>
      </c>
      <c r="Y45" s="316">
        <f>Данные!Z41*Данные!Z63</f>
        <v>0</v>
      </c>
    </row>
    <row r="46" spans="1:25" s="89" customFormat="1" ht="12.75" hidden="1" customHeight="1">
      <c r="A46" s="92" t="str">
        <f>"    " &amp; Данные!A14</f>
        <v xml:space="preserve">    косметика</v>
      </c>
      <c r="B46" s="261">
        <f>Данные!C42*Данные!C64</f>
        <v>0</v>
      </c>
      <c r="C46" s="261">
        <f>Данные!D42*Данные!D64</f>
        <v>0</v>
      </c>
      <c r="D46" s="261">
        <f>Данные!E42*Данные!E64</f>
        <v>0</v>
      </c>
      <c r="E46" s="261">
        <f>Данные!F42*Данные!F64</f>
        <v>0</v>
      </c>
      <c r="F46" s="261">
        <f>Данные!G42*Данные!G64</f>
        <v>0</v>
      </c>
      <c r="G46" s="261">
        <f>Данные!H42*Данные!H64</f>
        <v>0</v>
      </c>
      <c r="H46" s="261">
        <f>Данные!I42*Данные!I64</f>
        <v>0</v>
      </c>
      <c r="I46" s="261">
        <f>Данные!J42*Данные!J64</f>
        <v>0</v>
      </c>
      <c r="J46" s="261">
        <f>Данные!K42*Данные!K64</f>
        <v>0</v>
      </c>
      <c r="K46" s="261">
        <f>Данные!L42*Данные!L64</f>
        <v>0</v>
      </c>
      <c r="L46" s="261">
        <f>Данные!M42*Данные!M64</f>
        <v>0</v>
      </c>
      <c r="M46" s="261">
        <f>Данные!N42*Данные!N64</f>
        <v>0</v>
      </c>
      <c r="N46" s="261">
        <f>Данные!O42*Данные!O64</f>
        <v>0</v>
      </c>
      <c r="O46" s="261">
        <f>Данные!P42*Данные!P64</f>
        <v>0</v>
      </c>
      <c r="P46" s="261">
        <f>Данные!Q42*Данные!Q64</f>
        <v>0</v>
      </c>
      <c r="Q46" s="261">
        <f>Данные!R42*Данные!R64</f>
        <v>0</v>
      </c>
      <c r="R46" s="261">
        <f>Данные!S42*Данные!S64</f>
        <v>0</v>
      </c>
      <c r="S46" s="261">
        <f>Данные!T42*Данные!T64</f>
        <v>0</v>
      </c>
      <c r="T46" s="261">
        <f>Данные!U42*Данные!U64</f>
        <v>0</v>
      </c>
      <c r="U46" s="261">
        <f>Данные!V42*Данные!V64</f>
        <v>0</v>
      </c>
      <c r="V46" s="261">
        <f>Данные!W42*Данные!W64</f>
        <v>0</v>
      </c>
      <c r="W46" s="261">
        <f>Данные!X42*Данные!X64</f>
        <v>0</v>
      </c>
      <c r="X46" s="261">
        <f>Данные!Y42*Данные!Y64</f>
        <v>0</v>
      </c>
      <c r="Y46" s="261">
        <f>Данные!Z42*Данные!Z64</f>
        <v>0</v>
      </c>
    </row>
    <row r="47" spans="1:25" s="89" customFormat="1" ht="12.75" hidden="1" customHeight="1">
      <c r="A47" s="92" t="str">
        <f>"    " &amp; Данные!A15</f>
        <v xml:space="preserve">    товары для дома</v>
      </c>
      <c r="B47" s="261">
        <f>Данные!C43*Данные!C65</f>
        <v>0</v>
      </c>
      <c r="C47" s="261">
        <f>Данные!D43*Данные!D65</f>
        <v>0</v>
      </c>
      <c r="D47" s="261">
        <f>Данные!E43*Данные!E65</f>
        <v>0</v>
      </c>
      <c r="E47" s="261">
        <f>Данные!F43*Данные!F65</f>
        <v>0</v>
      </c>
      <c r="F47" s="261">
        <f>Данные!G43*Данные!G65</f>
        <v>0</v>
      </c>
      <c r="G47" s="261">
        <f>Данные!H43*Данные!H65</f>
        <v>0</v>
      </c>
      <c r="H47" s="261">
        <f>Данные!I43*Данные!I65</f>
        <v>0</v>
      </c>
      <c r="I47" s="261">
        <f>Данные!J43*Данные!J65</f>
        <v>0</v>
      </c>
      <c r="J47" s="261">
        <f>Данные!K43*Данные!K65</f>
        <v>0</v>
      </c>
      <c r="K47" s="261">
        <f>Данные!L43*Данные!L65</f>
        <v>0</v>
      </c>
      <c r="L47" s="261">
        <f>Данные!M43*Данные!M65</f>
        <v>0</v>
      </c>
      <c r="M47" s="261">
        <f>Данные!N43*Данные!N65</f>
        <v>0</v>
      </c>
      <c r="N47" s="261">
        <f>Данные!O43*Данные!O65</f>
        <v>0</v>
      </c>
      <c r="O47" s="261">
        <f>Данные!P43*Данные!P65</f>
        <v>0</v>
      </c>
      <c r="P47" s="261">
        <f>Данные!Q43*Данные!Q65</f>
        <v>0</v>
      </c>
      <c r="Q47" s="261">
        <f>Данные!R43*Данные!R65</f>
        <v>0</v>
      </c>
      <c r="R47" s="261">
        <f>Данные!S43*Данные!S65</f>
        <v>0</v>
      </c>
      <c r="S47" s="261">
        <f>Данные!T43*Данные!T65</f>
        <v>0</v>
      </c>
      <c r="T47" s="261">
        <f>Данные!U43*Данные!U65</f>
        <v>0</v>
      </c>
      <c r="U47" s="261">
        <f>Данные!V43*Данные!V65</f>
        <v>0</v>
      </c>
      <c r="V47" s="261">
        <f>Данные!W43*Данные!W65</f>
        <v>0</v>
      </c>
      <c r="W47" s="261">
        <f>Данные!X43*Данные!X65</f>
        <v>0</v>
      </c>
      <c r="X47" s="261">
        <f>Данные!Y43*Данные!Y65</f>
        <v>0</v>
      </c>
      <c r="Y47" s="261">
        <f>Данные!Z43*Данные!Z65</f>
        <v>0</v>
      </c>
    </row>
    <row r="48" spans="1:25" s="89" customFormat="1" ht="12.75" hidden="1" customHeight="1">
      <c r="A48" s="92" t="str">
        <f>"    " &amp; Данные!A16</f>
        <v xml:space="preserve">    Продукт 4</v>
      </c>
      <c r="B48" s="261">
        <f>Данные!C44*Данные!C66</f>
        <v>0</v>
      </c>
      <c r="C48" s="261">
        <f>Данные!D44*Данные!D66</f>
        <v>0</v>
      </c>
      <c r="D48" s="261">
        <f>Данные!E44*Данные!E66</f>
        <v>0</v>
      </c>
      <c r="E48" s="261">
        <f>Данные!F44*Данные!F66</f>
        <v>0</v>
      </c>
      <c r="F48" s="261">
        <f>Данные!G44*Данные!G66</f>
        <v>0</v>
      </c>
      <c r="G48" s="261">
        <f>Данные!H44*Данные!H66</f>
        <v>0</v>
      </c>
      <c r="H48" s="261">
        <f>Данные!I44*Данные!I66</f>
        <v>0</v>
      </c>
      <c r="I48" s="261">
        <f>Данные!J44*Данные!J66</f>
        <v>0</v>
      </c>
      <c r="J48" s="261">
        <f>Данные!K44*Данные!K66</f>
        <v>0</v>
      </c>
      <c r="K48" s="261">
        <f>Данные!L44*Данные!L66</f>
        <v>0</v>
      </c>
      <c r="L48" s="261">
        <f>Данные!M44*Данные!M66</f>
        <v>0</v>
      </c>
      <c r="M48" s="261">
        <f>Данные!N44*Данные!N66</f>
        <v>0</v>
      </c>
      <c r="N48" s="261">
        <f>Данные!O44*Данные!O66</f>
        <v>0</v>
      </c>
      <c r="O48" s="261">
        <f>Данные!P44*Данные!P66</f>
        <v>0</v>
      </c>
      <c r="P48" s="261">
        <f>Данные!Q44*Данные!Q66</f>
        <v>0</v>
      </c>
      <c r="Q48" s="261">
        <f>Данные!R44*Данные!R66</f>
        <v>0</v>
      </c>
      <c r="R48" s="261">
        <f>Данные!S44*Данные!S66</f>
        <v>0</v>
      </c>
      <c r="S48" s="261">
        <f>Данные!T44*Данные!T66</f>
        <v>0</v>
      </c>
      <c r="T48" s="261">
        <f>Данные!U44*Данные!U66</f>
        <v>0</v>
      </c>
      <c r="U48" s="261">
        <f>Данные!V44*Данные!V66</f>
        <v>0</v>
      </c>
      <c r="V48" s="261">
        <f>Данные!W44*Данные!W66</f>
        <v>0</v>
      </c>
      <c r="W48" s="261">
        <f>Данные!X44*Данные!X66</f>
        <v>0</v>
      </c>
      <c r="X48" s="261">
        <f>Данные!Y44*Данные!Y66</f>
        <v>0</v>
      </c>
      <c r="Y48" s="261">
        <f>Данные!Z44*Данные!Z66</f>
        <v>0</v>
      </c>
    </row>
    <row r="49" spans="1:25" s="89" customFormat="1" ht="12.75" hidden="1" customHeight="1">
      <c r="A49" s="92" t="str">
        <f>"    " &amp; Данные!A17</f>
        <v xml:space="preserve">    Продукт 5</v>
      </c>
      <c r="B49" s="261">
        <f>Данные!C45*Данные!C67</f>
        <v>0</v>
      </c>
      <c r="C49" s="261">
        <f>Данные!D45*Данные!D67</f>
        <v>0</v>
      </c>
      <c r="D49" s="261">
        <f>Данные!E45*Данные!E67</f>
        <v>0</v>
      </c>
      <c r="E49" s="261">
        <f>Данные!F45*Данные!F67</f>
        <v>0</v>
      </c>
      <c r="F49" s="261">
        <f>Данные!G45*Данные!G67</f>
        <v>0</v>
      </c>
      <c r="G49" s="261">
        <f>Данные!H45*Данные!H67</f>
        <v>0</v>
      </c>
      <c r="H49" s="261">
        <f>Данные!I45*Данные!I67</f>
        <v>0</v>
      </c>
      <c r="I49" s="261">
        <f>Данные!J45*Данные!J67</f>
        <v>0</v>
      </c>
      <c r="J49" s="261">
        <f>Данные!K45*Данные!K67</f>
        <v>0</v>
      </c>
      <c r="K49" s="261">
        <f>Данные!L45*Данные!L67</f>
        <v>0</v>
      </c>
      <c r="L49" s="261">
        <f>Данные!M45*Данные!M67</f>
        <v>0</v>
      </c>
      <c r="M49" s="261">
        <f>Данные!N45*Данные!N67</f>
        <v>0</v>
      </c>
      <c r="N49" s="261">
        <f>Данные!O45*Данные!O67</f>
        <v>0</v>
      </c>
      <c r="O49" s="261">
        <f>Данные!P45*Данные!P67</f>
        <v>0</v>
      </c>
      <c r="P49" s="261">
        <f>Данные!Q45*Данные!Q67</f>
        <v>0</v>
      </c>
      <c r="Q49" s="261">
        <f>Данные!R45*Данные!R67</f>
        <v>0</v>
      </c>
      <c r="R49" s="261">
        <f>Данные!S45*Данные!S67</f>
        <v>0</v>
      </c>
      <c r="S49" s="261">
        <f>Данные!T45*Данные!T67</f>
        <v>0</v>
      </c>
      <c r="T49" s="261">
        <f>Данные!U45*Данные!U67</f>
        <v>0</v>
      </c>
      <c r="U49" s="261">
        <f>Данные!V45*Данные!V67</f>
        <v>0</v>
      </c>
      <c r="V49" s="261">
        <f>Данные!W45*Данные!W67</f>
        <v>0</v>
      </c>
      <c r="W49" s="261">
        <f>Данные!X45*Данные!X67</f>
        <v>0</v>
      </c>
      <c r="X49" s="261">
        <f>Данные!Y45*Данные!Y67</f>
        <v>0</v>
      </c>
      <c r="Y49" s="261">
        <f>Данные!Z45*Данные!Z67</f>
        <v>0</v>
      </c>
    </row>
    <row r="50" spans="1:25" s="89" customFormat="1" ht="12.75" hidden="1" customHeight="1">
      <c r="A50" s="92" t="str">
        <f>"    " &amp; Данные!A18</f>
        <v xml:space="preserve">    Продукт 6</v>
      </c>
      <c r="B50" s="261">
        <f>Данные!C46*Данные!C68</f>
        <v>0</v>
      </c>
      <c r="C50" s="261">
        <f>Данные!D46*Данные!D68</f>
        <v>0</v>
      </c>
      <c r="D50" s="261">
        <f>Данные!E46*Данные!E68</f>
        <v>0</v>
      </c>
      <c r="E50" s="261">
        <f>Данные!F46*Данные!F68</f>
        <v>0</v>
      </c>
      <c r="F50" s="261">
        <f>Данные!G46*Данные!G68</f>
        <v>0</v>
      </c>
      <c r="G50" s="261">
        <f>Данные!H46*Данные!H68</f>
        <v>0</v>
      </c>
      <c r="H50" s="261">
        <f>Данные!I46*Данные!I68</f>
        <v>0</v>
      </c>
      <c r="I50" s="261">
        <f>Данные!J46*Данные!J68</f>
        <v>0</v>
      </c>
      <c r="J50" s="261">
        <f>Данные!K46*Данные!K68</f>
        <v>0</v>
      </c>
      <c r="K50" s="261">
        <f>Данные!L46*Данные!L68</f>
        <v>0</v>
      </c>
      <c r="L50" s="261">
        <f>Данные!M46*Данные!M68</f>
        <v>0</v>
      </c>
      <c r="M50" s="261">
        <f>Данные!N46*Данные!N68</f>
        <v>0</v>
      </c>
      <c r="N50" s="261">
        <f>Данные!O46*Данные!O68</f>
        <v>0</v>
      </c>
      <c r="O50" s="261">
        <f>Данные!P46*Данные!P68</f>
        <v>0</v>
      </c>
      <c r="P50" s="261">
        <f>Данные!Q46*Данные!Q68</f>
        <v>0</v>
      </c>
      <c r="Q50" s="261">
        <f>Данные!R46*Данные!R68</f>
        <v>0</v>
      </c>
      <c r="R50" s="261">
        <f>Данные!S46*Данные!S68</f>
        <v>0</v>
      </c>
      <c r="S50" s="261">
        <f>Данные!T46*Данные!T68</f>
        <v>0</v>
      </c>
      <c r="T50" s="261">
        <f>Данные!U46*Данные!U68</f>
        <v>0</v>
      </c>
      <c r="U50" s="261">
        <f>Данные!V46*Данные!V68</f>
        <v>0</v>
      </c>
      <c r="V50" s="261">
        <f>Данные!W46*Данные!W68</f>
        <v>0</v>
      </c>
      <c r="W50" s="261">
        <f>Данные!X46*Данные!X68</f>
        <v>0</v>
      </c>
      <c r="X50" s="261">
        <f>Данные!Y46*Данные!Y68</f>
        <v>0</v>
      </c>
      <c r="Y50" s="261">
        <f>Данные!Z46*Данные!Z68</f>
        <v>0</v>
      </c>
    </row>
    <row r="51" spans="1:25" s="89" customFormat="1" ht="12.75" hidden="1" customHeight="1">
      <c r="A51" s="92" t="str">
        <f>"    " &amp; Данные!A19</f>
        <v xml:space="preserve">    Продукт 7</v>
      </c>
      <c r="B51" s="261">
        <f>Данные!C47*Данные!C69</f>
        <v>0</v>
      </c>
      <c r="C51" s="261">
        <f>Данные!D47*Данные!D69</f>
        <v>0</v>
      </c>
      <c r="D51" s="261">
        <f>Данные!E47*Данные!E69</f>
        <v>0</v>
      </c>
      <c r="E51" s="261">
        <f>Данные!F47*Данные!F69</f>
        <v>0</v>
      </c>
      <c r="F51" s="261">
        <f>Данные!G47*Данные!G69</f>
        <v>0</v>
      </c>
      <c r="G51" s="261">
        <f>Данные!H47*Данные!H69</f>
        <v>0</v>
      </c>
      <c r="H51" s="261">
        <f>Данные!I47*Данные!I69</f>
        <v>0</v>
      </c>
      <c r="I51" s="261">
        <f>Данные!J47*Данные!J69</f>
        <v>0</v>
      </c>
      <c r="J51" s="261">
        <f>Данные!K47*Данные!K69</f>
        <v>0</v>
      </c>
      <c r="K51" s="261">
        <f>Данные!L47*Данные!L69</f>
        <v>0</v>
      </c>
      <c r="L51" s="261">
        <f>Данные!M47*Данные!M69</f>
        <v>0</v>
      </c>
      <c r="M51" s="261">
        <f>Данные!N47*Данные!N69</f>
        <v>0</v>
      </c>
      <c r="N51" s="261">
        <f>Данные!O47*Данные!O69</f>
        <v>0</v>
      </c>
      <c r="O51" s="261">
        <f>Данные!P47*Данные!P69</f>
        <v>0</v>
      </c>
      <c r="P51" s="261">
        <f>Данные!Q47*Данные!Q69</f>
        <v>0</v>
      </c>
      <c r="Q51" s="261">
        <f>Данные!R47*Данные!R69</f>
        <v>0</v>
      </c>
      <c r="R51" s="261">
        <f>Данные!S47*Данные!S69</f>
        <v>0</v>
      </c>
      <c r="S51" s="261">
        <f>Данные!T47*Данные!T69</f>
        <v>0</v>
      </c>
      <c r="T51" s="261">
        <f>Данные!U47*Данные!U69</f>
        <v>0</v>
      </c>
      <c r="U51" s="261">
        <f>Данные!V47*Данные!V69</f>
        <v>0</v>
      </c>
      <c r="V51" s="261">
        <f>Данные!W47*Данные!W69</f>
        <v>0</v>
      </c>
      <c r="W51" s="261">
        <f>Данные!X47*Данные!X69</f>
        <v>0</v>
      </c>
      <c r="X51" s="261">
        <f>Данные!Y47*Данные!Y69</f>
        <v>0</v>
      </c>
      <c r="Y51" s="261">
        <f>Данные!Z47*Данные!Z69</f>
        <v>0</v>
      </c>
    </row>
    <row r="52" spans="1:25" s="89" customFormat="1" ht="12.75" hidden="1" customHeight="1">
      <c r="A52" s="92" t="str">
        <f>"    " &amp; Данные!A20</f>
        <v xml:space="preserve">    Продукт 8</v>
      </c>
      <c r="B52" s="261">
        <f>Данные!C48*Данные!C70</f>
        <v>0</v>
      </c>
      <c r="C52" s="261">
        <f>Данные!D48*Данные!D70</f>
        <v>0</v>
      </c>
      <c r="D52" s="261">
        <f>Данные!E48*Данные!E70</f>
        <v>0</v>
      </c>
      <c r="E52" s="261">
        <f>Данные!F48*Данные!F70</f>
        <v>0</v>
      </c>
      <c r="F52" s="261">
        <f>Данные!G48*Данные!G70</f>
        <v>0</v>
      </c>
      <c r="G52" s="261">
        <f>Данные!H48*Данные!H70</f>
        <v>0</v>
      </c>
      <c r="H52" s="261">
        <f>Данные!I48*Данные!I70</f>
        <v>0</v>
      </c>
      <c r="I52" s="261">
        <f>Данные!J48*Данные!J70</f>
        <v>0</v>
      </c>
      <c r="J52" s="261">
        <f>Данные!K48*Данные!K70</f>
        <v>0</v>
      </c>
      <c r="K52" s="261">
        <f>Данные!L48*Данные!L70</f>
        <v>0</v>
      </c>
      <c r="L52" s="261">
        <f>Данные!M48*Данные!M70</f>
        <v>0</v>
      </c>
      <c r="M52" s="261">
        <f>Данные!N48*Данные!N70</f>
        <v>0</v>
      </c>
      <c r="N52" s="261">
        <f>Данные!O48*Данные!O70</f>
        <v>0</v>
      </c>
      <c r="O52" s="261">
        <f>Данные!P48*Данные!P70</f>
        <v>0</v>
      </c>
      <c r="P52" s="261">
        <f>Данные!Q48*Данные!Q70</f>
        <v>0</v>
      </c>
      <c r="Q52" s="261">
        <f>Данные!R48*Данные!R70</f>
        <v>0</v>
      </c>
      <c r="R52" s="261">
        <f>Данные!S48*Данные!S70</f>
        <v>0</v>
      </c>
      <c r="S52" s="261">
        <f>Данные!T48*Данные!T70</f>
        <v>0</v>
      </c>
      <c r="T52" s="261">
        <f>Данные!U48*Данные!U70</f>
        <v>0</v>
      </c>
      <c r="U52" s="261">
        <f>Данные!V48*Данные!V70</f>
        <v>0</v>
      </c>
      <c r="V52" s="261">
        <f>Данные!W48*Данные!W70</f>
        <v>0</v>
      </c>
      <c r="W52" s="261">
        <f>Данные!X48*Данные!X70</f>
        <v>0</v>
      </c>
      <c r="X52" s="261">
        <f>Данные!Y48*Данные!Y70</f>
        <v>0</v>
      </c>
      <c r="Y52" s="261">
        <f>Данные!Z48*Данные!Z70</f>
        <v>0</v>
      </c>
    </row>
    <row r="53" spans="1:25" s="89" customFormat="1" ht="12.75" hidden="1" customHeight="1">
      <c r="A53" s="92" t="str">
        <f>"    " &amp; Данные!A21</f>
        <v xml:space="preserve">    Продукт 9</v>
      </c>
      <c r="B53" s="261">
        <f>Данные!C49*Данные!C71</f>
        <v>0</v>
      </c>
      <c r="C53" s="261">
        <f>Данные!D49*Данные!D71</f>
        <v>0</v>
      </c>
      <c r="D53" s="261">
        <f>Данные!E49*Данные!E71</f>
        <v>0</v>
      </c>
      <c r="E53" s="261">
        <f>Данные!F49*Данные!F71</f>
        <v>0</v>
      </c>
      <c r="F53" s="261">
        <f>Данные!G49*Данные!G71</f>
        <v>0</v>
      </c>
      <c r="G53" s="261">
        <f>Данные!H49*Данные!H71</f>
        <v>0</v>
      </c>
      <c r="H53" s="261">
        <f>Данные!I49*Данные!I71</f>
        <v>0</v>
      </c>
      <c r="I53" s="261">
        <f>Данные!J49*Данные!J71</f>
        <v>0</v>
      </c>
      <c r="J53" s="261">
        <f>Данные!K49*Данные!K71</f>
        <v>0</v>
      </c>
      <c r="K53" s="261">
        <f>Данные!L49*Данные!L71</f>
        <v>0</v>
      </c>
      <c r="L53" s="261">
        <f>Данные!M49*Данные!M71</f>
        <v>0</v>
      </c>
      <c r="M53" s="261">
        <f>Данные!N49*Данные!N71</f>
        <v>0</v>
      </c>
      <c r="N53" s="261">
        <f>Данные!O49*Данные!O71</f>
        <v>0</v>
      </c>
      <c r="O53" s="261">
        <f>Данные!P49*Данные!P71</f>
        <v>0</v>
      </c>
      <c r="P53" s="261">
        <f>Данные!Q49*Данные!Q71</f>
        <v>0</v>
      </c>
      <c r="Q53" s="261">
        <f>Данные!R49*Данные!R71</f>
        <v>0</v>
      </c>
      <c r="R53" s="261">
        <f>Данные!S49*Данные!S71</f>
        <v>0</v>
      </c>
      <c r="S53" s="261">
        <f>Данные!T49*Данные!T71</f>
        <v>0</v>
      </c>
      <c r="T53" s="261">
        <f>Данные!U49*Данные!U71</f>
        <v>0</v>
      </c>
      <c r="U53" s="261">
        <f>Данные!V49*Данные!V71</f>
        <v>0</v>
      </c>
      <c r="V53" s="261">
        <f>Данные!W49*Данные!W71</f>
        <v>0</v>
      </c>
      <c r="W53" s="261">
        <f>Данные!X49*Данные!X71</f>
        <v>0</v>
      </c>
      <c r="X53" s="261">
        <f>Данные!Y49*Данные!Y71</f>
        <v>0</v>
      </c>
      <c r="Y53" s="261">
        <f>Данные!Z49*Данные!Z71</f>
        <v>0</v>
      </c>
    </row>
    <row r="54" spans="1:25" s="89" customFormat="1" ht="12.75" hidden="1" customHeight="1">
      <c r="A54" s="92" t="str">
        <f>"    " &amp; Данные!A22</f>
        <v xml:space="preserve">    Продукт 10</v>
      </c>
      <c r="B54" s="261">
        <f>Данные!C50*Данные!C72</f>
        <v>0</v>
      </c>
      <c r="C54" s="261">
        <f>Данные!D50*Данные!D72</f>
        <v>0</v>
      </c>
      <c r="D54" s="261">
        <f>Данные!E50*Данные!E72</f>
        <v>0</v>
      </c>
      <c r="E54" s="261">
        <f>Данные!F50*Данные!F72</f>
        <v>0</v>
      </c>
      <c r="F54" s="261">
        <f>Данные!G50*Данные!G72</f>
        <v>0</v>
      </c>
      <c r="G54" s="261">
        <f>Данные!H50*Данные!H72</f>
        <v>0</v>
      </c>
      <c r="H54" s="261">
        <f>Данные!I50*Данные!I72</f>
        <v>0</v>
      </c>
      <c r="I54" s="261">
        <f>Данные!J50*Данные!J72</f>
        <v>0</v>
      </c>
      <c r="J54" s="261">
        <f>Данные!K50*Данные!K72</f>
        <v>0</v>
      </c>
      <c r="K54" s="261">
        <f>Данные!L50*Данные!L72</f>
        <v>0</v>
      </c>
      <c r="L54" s="261">
        <f>Данные!M50*Данные!M72</f>
        <v>0</v>
      </c>
      <c r="M54" s="261">
        <f>Данные!N50*Данные!N72</f>
        <v>0</v>
      </c>
      <c r="N54" s="261">
        <f>Данные!O50*Данные!O72</f>
        <v>0</v>
      </c>
      <c r="O54" s="261">
        <f>Данные!P50*Данные!P72</f>
        <v>0</v>
      </c>
      <c r="P54" s="261">
        <f>Данные!Q50*Данные!Q72</f>
        <v>0</v>
      </c>
      <c r="Q54" s="261">
        <f>Данные!R50*Данные!R72</f>
        <v>0</v>
      </c>
      <c r="R54" s="261">
        <f>Данные!S50*Данные!S72</f>
        <v>0</v>
      </c>
      <c r="S54" s="261">
        <f>Данные!T50*Данные!T72</f>
        <v>0</v>
      </c>
      <c r="T54" s="261">
        <f>Данные!U50*Данные!U72</f>
        <v>0</v>
      </c>
      <c r="U54" s="261">
        <f>Данные!V50*Данные!V72</f>
        <v>0</v>
      </c>
      <c r="V54" s="261">
        <f>Данные!W50*Данные!W72</f>
        <v>0</v>
      </c>
      <c r="W54" s="261">
        <f>Данные!X50*Данные!X72</f>
        <v>0</v>
      </c>
      <c r="X54" s="261">
        <f>Данные!Y50*Данные!Y72</f>
        <v>0</v>
      </c>
      <c r="Y54" s="261">
        <f>Данные!Z50*Данные!Z72</f>
        <v>0</v>
      </c>
    </row>
    <row r="55" spans="1:25" s="89" customFormat="1" ht="12.75" hidden="1" customHeight="1">
      <c r="A55" s="92" t="str">
        <f>"    " &amp; Данные!A23</f>
        <v xml:space="preserve">    Продукт 11</v>
      </c>
      <c r="B55" s="261">
        <f>Данные!C51*Данные!C73</f>
        <v>0</v>
      </c>
      <c r="C55" s="261">
        <f>Данные!D51*Данные!D73</f>
        <v>0</v>
      </c>
      <c r="D55" s="261">
        <f>Данные!E51*Данные!E73</f>
        <v>0</v>
      </c>
      <c r="E55" s="261">
        <f>Данные!F51*Данные!F73</f>
        <v>0</v>
      </c>
      <c r="F55" s="261">
        <f>Данные!G51*Данные!G73</f>
        <v>0</v>
      </c>
      <c r="G55" s="261">
        <f>Данные!H51*Данные!H73</f>
        <v>0</v>
      </c>
      <c r="H55" s="261">
        <f>Данные!I51*Данные!I73</f>
        <v>0</v>
      </c>
      <c r="I55" s="261">
        <f>Данные!J51*Данные!J73</f>
        <v>0</v>
      </c>
      <c r="J55" s="261">
        <f>Данные!K51*Данные!K73</f>
        <v>0</v>
      </c>
      <c r="K55" s="261">
        <f>Данные!L51*Данные!L73</f>
        <v>0</v>
      </c>
      <c r="L55" s="261">
        <f>Данные!M51*Данные!M73</f>
        <v>0</v>
      </c>
      <c r="M55" s="261">
        <f>Данные!N51*Данные!N73</f>
        <v>0</v>
      </c>
      <c r="N55" s="261">
        <f>Данные!O51*Данные!O73</f>
        <v>0</v>
      </c>
      <c r="O55" s="261">
        <f>Данные!P51*Данные!P73</f>
        <v>0</v>
      </c>
      <c r="P55" s="261">
        <f>Данные!Q51*Данные!Q73</f>
        <v>0</v>
      </c>
      <c r="Q55" s="261">
        <f>Данные!R51*Данные!R73</f>
        <v>0</v>
      </c>
      <c r="R55" s="261">
        <f>Данные!S51*Данные!S73</f>
        <v>0</v>
      </c>
      <c r="S55" s="261">
        <f>Данные!T51*Данные!T73</f>
        <v>0</v>
      </c>
      <c r="T55" s="261">
        <f>Данные!U51*Данные!U73</f>
        <v>0</v>
      </c>
      <c r="U55" s="261">
        <f>Данные!V51*Данные!V73</f>
        <v>0</v>
      </c>
      <c r="V55" s="261">
        <f>Данные!W51*Данные!W73</f>
        <v>0</v>
      </c>
      <c r="W55" s="261">
        <f>Данные!X51*Данные!X73</f>
        <v>0</v>
      </c>
      <c r="X55" s="261">
        <f>Данные!Y51*Данные!Y73</f>
        <v>0</v>
      </c>
      <c r="Y55" s="261">
        <f>Данные!Z51*Данные!Z73</f>
        <v>0</v>
      </c>
    </row>
    <row r="56" spans="1:25" s="89" customFormat="1" ht="12.75" hidden="1" customHeight="1">
      <c r="A56" s="92" t="str">
        <f>"    " &amp; Данные!A24</f>
        <v xml:space="preserve">    Продукт 12</v>
      </c>
      <c r="B56" s="261">
        <f>Данные!C52*Данные!C74</f>
        <v>0</v>
      </c>
      <c r="C56" s="261">
        <f>Данные!D52*Данные!D74</f>
        <v>0</v>
      </c>
      <c r="D56" s="261">
        <f>Данные!E52*Данные!E74</f>
        <v>0</v>
      </c>
      <c r="E56" s="261">
        <f>Данные!F52*Данные!F74</f>
        <v>0</v>
      </c>
      <c r="F56" s="261">
        <f>Данные!G52*Данные!G74</f>
        <v>0</v>
      </c>
      <c r="G56" s="261">
        <f>Данные!H52*Данные!H74</f>
        <v>0</v>
      </c>
      <c r="H56" s="261">
        <f>Данные!I52*Данные!I74</f>
        <v>0</v>
      </c>
      <c r="I56" s="261">
        <f>Данные!J52*Данные!J74</f>
        <v>0</v>
      </c>
      <c r="J56" s="261">
        <f>Данные!K52*Данные!K74</f>
        <v>0</v>
      </c>
      <c r="K56" s="261">
        <f>Данные!L52*Данные!L74</f>
        <v>0</v>
      </c>
      <c r="L56" s="261">
        <f>Данные!M52*Данные!M74</f>
        <v>0</v>
      </c>
      <c r="M56" s="261">
        <f>Данные!N52*Данные!N74</f>
        <v>0</v>
      </c>
      <c r="N56" s="261">
        <f>Данные!O52*Данные!O74</f>
        <v>0</v>
      </c>
      <c r="O56" s="261">
        <f>Данные!P52*Данные!P74</f>
        <v>0</v>
      </c>
      <c r="P56" s="261">
        <f>Данные!Q52*Данные!Q74</f>
        <v>0</v>
      </c>
      <c r="Q56" s="261">
        <f>Данные!R52*Данные!R74</f>
        <v>0</v>
      </c>
      <c r="R56" s="261">
        <f>Данные!S52*Данные!S74</f>
        <v>0</v>
      </c>
      <c r="S56" s="261">
        <f>Данные!T52*Данные!T74</f>
        <v>0</v>
      </c>
      <c r="T56" s="261">
        <f>Данные!U52*Данные!U74</f>
        <v>0</v>
      </c>
      <c r="U56" s="261">
        <f>Данные!V52*Данные!V74</f>
        <v>0</v>
      </c>
      <c r="V56" s="261">
        <f>Данные!W52*Данные!W74</f>
        <v>0</v>
      </c>
      <c r="W56" s="261">
        <f>Данные!X52*Данные!X74</f>
        <v>0</v>
      </c>
      <c r="X56" s="261">
        <f>Данные!Y52*Данные!Y74</f>
        <v>0</v>
      </c>
      <c r="Y56" s="261">
        <f>Данные!Z52*Данные!Z74</f>
        <v>0</v>
      </c>
    </row>
    <row r="57" spans="1:25" s="89" customFormat="1" ht="12.75" hidden="1" customHeight="1">
      <c r="A57" s="92" t="str">
        <f>"    " &amp; Данные!A25</f>
        <v xml:space="preserve">    Продукт 13</v>
      </c>
      <c r="B57" s="261">
        <f>Данные!C53*Данные!C75</f>
        <v>0</v>
      </c>
      <c r="C57" s="261">
        <f>Данные!D53*Данные!D75</f>
        <v>0</v>
      </c>
      <c r="D57" s="261">
        <f>Данные!E53*Данные!E75</f>
        <v>0</v>
      </c>
      <c r="E57" s="261">
        <f>Данные!F53*Данные!F75</f>
        <v>0</v>
      </c>
      <c r="F57" s="261">
        <f>Данные!G53*Данные!G75</f>
        <v>0</v>
      </c>
      <c r="G57" s="261">
        <f>Данные!H53*Данные!H75</f>
        <v>0</v>
      </c>
      <c r="H57" s="261">
        <f>Данные!I53*Данные!I75</f>
        <v>0</v>
      </c>
      <c r="I57" s="261">
        <f>Данные!J53*Данные!J75</f>
        <v>0</v>
      </c>
      <c r="J57" s="261">
        <f>Данные!K53*Данные!K75</f>
        <v>0</v>
      </c>
      <c r="K57" s="261">
        <f>Данные!L53*Данные!L75</f>
        <v>0</v>
      </c>
      <c r="L57" s="261">
        <f>Данные!M53*Данные!M75</f>
        <v>0</v>
      </c>
      <c r="M57" s="261">
        <f>Данные!N53*Данные!N75</f>
        <v>0</v>
      </c>
      <c r="N57" s="261">
        <f>Данные!O53*Данные!O75</f>
        <v>0</v>
      </c>
      <c r="O57" s="261">
        <f>Данные!P53*Данные!P75</f>
        <v>0</v>
      </c>
      <c r="P57" s="261">
        <f>Данные!Q53*Данные!Q75</f>
        <v>0</v>
      </c>
      <c r="Q57" s="261">
        <f>Данные!R53*Данные!R75</f>
        <v>0</v>
      </c>
      <c r="R57" s="261">
        <f>Данные!S53*Данные!S75</f>
        <v>0</v>
      </c>
      <c r="S57" s="261">
        <f>Данные!T53*Данные!T75</f>
        <v>0</v>
      </c>
      <c r="T57" s="261">
        <f>Данные!U53*Данные!U75</f>
        <v>0</v>
      </c>
      <c r="U57" s="261">
        <f>Данные!V53*Данные!V75</f>
        <v>0</v>
      </c>
      <c r="V57" s="261">
        <f>Данные!W53*Данные!W75</f>
        <v>0</v>
      </c>
      <c r="W57" s="261">
        <f>Данные!X53*Данные!X75</f>
        <v>0</v>
      </c>
      <c r="X57" s="261">
        <f>Данные!Y53*Данные!Y75</f>
        <v>0</v>
      </c>
      <c r="Y57" s="261">
        <f>Данные!Z53*Данные!Z75</f>
        <v>0</v>
      </c>
    </row>
    <row r="58" spans="1:25" s="89" customFormat="1" ht="12.75" hidden="1" customHeight="1">
      <c r="A58" s="92" t="str">
        <f>"    " &amp; Данные!A26</f>
        <v xml:space="preserve">    Продукт 14</v>
      </c>
      <c r="B58" s="261">
        <f>Данные!C54*Данные!C76</f>
        <v>0</v>
      </c>
      <c r="C58" s="261">
        <f>Данные!D54*Данные!D76</f>
        <v>0</v>
      </c>
      <c r="D58" s="261">
        <f>Данные!E54*Данные!E76</f>
        <v>0</v>
      </c>
      <c r="E58" s="261">
        <f>Данные!F54*Данные!F76</f>
        <v>0</v>
      </c>
      <c r="F58" s="261">
        <f>Данные!G54*Данные!G76</f>
        <v>0</v>
      </c>
      <c r="G58" s="261">
        <f>Данные!H54*Данные!H76</f>
        <v>0</v>
      </c>
      <c r="H58" s="261">
        <f>Данные!I54*Данные!I76</f>
        <v>0</v>
      </c>
      <c r="I58" s="261">
        <f>Данные!J54*Данные!J76</f>
        <v>0</v>
      </c>
      <c r="J58" s="261">
        <f>Данные!K54*Данные!K76</f>
        <v>0</v>
      </c>
      <c r="K58" s="261">
        <f>Данные!L54*Данные!L76</f>
        <v>0</v>
      </c>
      <c r="L58" s="261">
        <f>Данные!M54*Данные!M76</f>
        <v>0</v>
      </c>
      <c r="M58" s="261">
        <f>Данные!N54*Данные!N76</f>
        <v>0</v>
      </c>
      <c r="N58" s="261">
        <f>Данные!O54*Данные!O76</f>
        <v>0</v>
      </c>
      <c r="O58" s="261">
        <f>Данные!P54*Данные!P76</f>
        <v>0</v>
      </c>
      <c r="P58" s="261">
        <f>Данные!Q54*Данные!Q76</f>
        <v>0</v>
      </c>
      <c r="Q58" s="261">
        <f>Данные!R54*Данные!R76</f>
        <v>0</v>
      </c>
      <c r="R58" s="261">
        <f>Данные!S54*Данные!S76</f>
        <v>0</v>
      </c>
      <c r="S58" s="261">
        <f>Данные!T54*Данные!T76</f>
        <v>0</v>
      </c>
      <c r="T58" s="261">
        <f>Данные!U54*Данные!U76</f>
        <v>0</v>
      </c>
      <c r="U58" s="261">
        <f>Данные!V54*Данные!V76</f>
        <v>0</v>
      </c>
      <c r="V58" s="261">
        <f>Данные!W54*Данные!W76</f>
        <v>0</v>
      </c>
      <c r="W58" s="261">
        <f>Данные!X54*Данные!X76</f>
        <v>0</v>
      </c>
      <c r="X58" s="261">
        <f>Данные!Y54*Данные!Y76</f>
        <v>0</v>
      </c>
      <c r="Y58" s="261">
        <f>Данные!Z54*Данные!Z76</f>
        <v>0</v>
      </c>
    </row>
    <row r="59" spans="1:25" s="89" customFormat="1" ht="12.75" hidden="1" customHeight="1">
      <c r="A59" s="92" t="str">
        <f>"    " &amp; Данные!A27</f>
        <v xml:space="preserve">    Продукт 15</v>
      </c>
      <c r="B59" s="261">
        <f>Данные!C55*Данные!C77</f>
        <v>0</v>
      </c>
      <c r="C59" s="261">
        <f>Данные!D55*Данные!D77</f>
        <v>0</v>
      </c>
      <c r="D59" s="261">
        <f>Данные!E55*Данные!E77</f>
        <v>0</v>
      </c>
      <c r="E59" s="261">
        <f>Данные!F55*Данные!F77</f>
        <v>0</v>
      </c>
      <c r="F59" s="261">
        <f>Данные!G55*Данные!G77</f>
        <v>0</v>
      </c>
      <c r="G59" s="261">
        <f>Данные!H55*Данные!H77</f>
        <v>0</v>
      </c>
      <c r="H59" s="261">
        <f>Данные!I55*Данные!I77</f>
        <v>0</v>
      </c>
      <c r="I59" s="261">
        <f>Данные!J55*Данные!J77</f>
        <v>0</v>
      </c>
      <c r="J59" s="261">
        <f>Данные!K55*Данные!K77</f>
        <v>0</v>
      </c>
      <c r="K59" s="261">
        <f>Данные!L55*Данные!L77</f>
        <v>0</v>
      </c>
      <c r="L59" s="261">
        <f>Данные!M55*Данные!M77</f>
        <v>0</v>
      </c>
      <c r="M59" s="261">
        <f>Данные!N55*Данные!N77</f>
        <v>0</v>
      </c>
      <c r="N59" s="261">
        <f>Данные!O55*Данные!O77</f>
        <v>0</v>
      </c>
      <c r="O59" s="261">
        <f>Данные!P55*Данные!P77</f>
        <v>0</v>
      </c>
      <c r="P59" s="261">
        <f>Данные!Q55*Данные!Q77</f>
        <v>0</v>
      </c>
      <c r="Q59" s="261">
        <f>Данные!R55*Данные!R77</f>
        <v>0</v>
      </c>
      <c r="R59" s="261">
        <f>Данные!S55*Данные!S77</f>
        <v>0</v>
      </c>
      <c r="S59" s="261">
        <f>Данные!T55*Данные!T77</f>
        <v>0</v>
      </c>
      <c r="T59" s="261">
        <f>Данные!U55*Данные!U77</f>
        <v>0</v>
      </c>
      <c r="U59" s="261">
        <f>Данные!V55*Данные!V77</f>
        <v>0</v>
      </c>
      <c r="V59" s="261">
        <f>Данные!W55*Данные!W77</f>
        <v>0</v>
      </c>
      <c r="W59" s="261">
        <f>Данные!X55*Данные!X77</f>
        <v>0</v>
      </c>
      <c r="X59" s="261">
        <f>Данные!Y55*Данные!Y77</f>
        <v>0</v>
      </c>
      <c r="Y59" s="261">
        <f>Данные!Z55*Данные!Z77</f>
        <v>0</v>
      </c>
    </row>
    <row r="60" spans="1:25" s="89" customFormat="1" ht="12.75" hidden="1" customHeight="1">
      <c r="A60" s="92" t="str">
        <f>"    " &amp; Данные!A28</f>
        <v xml:space="preserve">    Продукт 16</v>
      </c>
      <c r="B60" s="261">
        <f>Данные!C56*Данные!C78</f>
        <v>0</v>
      </c>
      <c r="C60" s="261">
        <f>Данные!D56*Данные!D78</f>
        <v>0</v>
      </c>
      <c r="D60" s="261">
        <f>Данные!E56*Данные!E78</f>
        <v>0</v>
      </c>
      <c r="E60" s="261">
        <f>Данные!F56*Данные!F78</f>
        <v>0</v>
      </c>
      <c r="F60" s="261">
        <f>Данные!G56*Данные!G78</f>
        <v>0</v>
      </c>
      <c r="G60" s="261">
        <f>Данные!H56*Данные!H78</f>
        <v>0</v>
      </c>
      <c r="H60" s="261">
        <f>Данные!I56*Данные!I78</f>
        <v>0</v>
      </c>
      <c r="I60" s="261">
        <f>Данные!J56*Данные!J78</f>
        <v>0</v>
      </c>
      <c r="J60" s="261">
        <f>Данные!K56*Данные!K78</f>
        <v>0</v>
      </c>
      <c r="K60" s="261">
        <f>Данные!L56*Данные!L78</f>
        <v>0</v>
      </c>
      <c r="L60" s="261">
        <f>Данные!M56*Данные!M78</f>
        <v>0</v>
      </c>
      <c r="M60" s="261">
        <f>Данные!N56*Данные!N78</f>
        <v>0</v>
      </c>
      <c r="N60" s="261">
        <f>Данные!O56*Данные!O78</f>
        <v>0</v>
      </c>
      <c r="O60" s="261">
        <f>Данные!P56*Данные!P78</f>
        <v>0</v>
      </c>
      <c r="P60" s="261">
        <f>Данные!Q56*Данные!Q78</f>
        <v>0</v>
      </c>
      <c r="Q60" s="261">
        <f>Данные!R56*Данные!R78</f>
        <v>0</v>
      </c>
      <c r="R60" s="261">
        <f>Данные!S56*Данные!S78</f>
        <v>0</v>
      </c>
      <c r="S60" s="261">
        <f>Данные!T56*Данные!T78</f>
        <v>0</v>
      </c>
      <c r="T60" s="261">
        <f>Данные!U56*Данные!U78</f>
        <v>0</v>
      </c>
      <c r="U60" s="261">
        <f>Данные!V56*Данные!V78</f>
        <v>0</v>
      </c>
      <c r="V60" s="261">
        <f>Данные!W56*Данные!W78</f>
        <v>0</v>
      </c>
      <c r="W60" s="261">
        <f>Данные!X56*Данные!X78</f>
        <v>0</v>
      </c>
      <c r="X60" s="261">
        <f>Данные!Y56*Данные!Y78</f>
        <v>0</v>
      </c>
      <c r="Y60" s="261">
        <f>Данные!Z56*Данные!Z78</f>
        <v>0</v>
      </c>
    </row>
    <row r="61" spans="1:25" s="89" customFormat="1" ht="12.75" hidden="1" customHeight="1">
      <c r="A61" s="92" t="str">
        <f>"    " &amp; Данные!A29</f>
        <v xml:space="preserve">    Продукт 17</v>
      </c>
      <c r="B61" s="261">
        <f>Данные!C57*Данные!C79</f>
        <v>0</v>
      </c>
      <c r="C61" s="261">
        <f>Данные!D57*Данные!D79</f>
        <v>0</v>
      </c>
      <c r="D61" s="261">
        <f>Данные!E57*Данные!E79</f>
        <v>0</v>
      </c>
      <c r="E61" s="261">
        <f>Данные!F57*Данные!F79</f>
        <v>0</v>
      </c>
      <c r="F61" s="261">
        <f>Данные!G57*Данные!G79</f>
        <v>0</v>
      </c>
      <c r="G61" s="261">
        <f>Данные!H57*Данные!H79</f>
        <v>0</v>
      </c>
      <c r="H61" s="261">
        <f>Данные!I57*Данные!I79</f>
        <v>0</v>
      </c>
      <c r="I61" s="261">
        <f>Данные!J57*Данные!J79</f>
        <v>0</v>
      </c>
      <c r="J61" s="261">
        <f>Данные!K57*Данные!K79</f>
        <v>0</v>
      </c>
      <c r="K61" s="261">
        <f>Данные!L57*Данные!L79</f>
        <v>0</v>
      </c>
      <c r="L61" s="261">
        <f>Данные!M57*Данные!M79</f>
        <v>0</v>
      </c>
      <c r="M61" s="261">
        <f>Данные!N57*Данные!N79</f>
        <v>0</v>
      </c>
      <c r="N61" s="261">
        <f>Данные!O57*Данные!O79</f>
        <v>0</v>
      </c>
      <c r="O61" s="261">
        <f>Данные!P57*Данные!P79</f>
        <v>0</v>
      </c>
      <c r="P61" s="261">
        <f>Данные!Q57*Данные!Q79</f>
        <v>0</v>
      </c>
      <c r="Q61" s="261">
        <f>Данные!R57*Данные!R79</f>
        <v>0</v>
      </c>
      <c r="R61" s="261">
        <f>Данные!S57*Данные!S79</f>
        <v>0</v>
      </c>
      <c r="S61" s="261">
        <f>Данные!T57*Данные!T79</f>
        <v>0</v>
      </c>
      <c r="T61" s="261">
        <f>Данные!U57*Данные!U79</f>
        <v>0</v>
      </c>
      <c r="U61" s="261">
        <f>Данные!V57*Данные!V79</f>
        <v>0</v>
      </c>
      <c r="V61" s="261">
        <f>Данные!W57*Данные!W79</f>
        <v>0</v>
      </c>
      <c r="W61" s="261">
        <f>Данные!X57*Данные!X79</f>
        <v>0</v>
      </c>
      <c r="X61" s="261">
        <f>Данные!Y57*Данные!Y79</f>
        <v>0</v>
      </c>
      <c r="Y61" s="261">
        <f>Данные!Z57*Данные!Z79</f>
        <v>0</v>
      </c>
    </row>
    <row r="62" spans="1:25" s="89" customFormat="1" ht="12.75" hidden="1" customHeight="1">
      <c r="A62" s="92" t="str">
        <f>"    " &amp; Данные!A30</f>
        <v xml:space="preserve">    Продукт 18</v>
      </c>
      <c r="B62" s="261">
        <f>Данные!C58*Данные!C80</f>
        <v>0</v>
      </c>
      <c r="C62" s="261">
        <f>Данные!D58*Данные!D80</f>
        <v>0</v>
      </c>
      <c r="D62" s="261">
        <f>Данные!E58*Данные!E80</f>
        <v>0</v>
      </c>
      <c r="E62" s="261">
        <f>Данные!F58*Данные!F80</f>
        <v>0</v>
      </c>
      <c r="F62" s="261">
        <f>Данные!G58*Данные!G80</f>
        <v>0</v>
      </c>
      <c r="G62" s="261">
        <f>Данные!H58*Данные!H80</f>
        <v>0</v>
      </c>
      <c r="H62" s="261">
        <f>Данные!I58*Данные!I80</f>
        <v>0</v>
      </c>
      <c r="I62" s="261">
        <f>Данные!J58*Данные!J80</f>
        <v>0</v>
      </c>
      <c r="J62" s="261">
        <f>Данные!K58*Данные!K80</f>
        <v>0</v>
      </c>
      <c r="K62" s="261">
        <f>Данные!L58*Данные!L80</f>
        <v>0</v>
      </c>
      <c r="L62" s="261">
        <f>Данные!M58*Данные!M80</f>
        <v>0</v>
      </c>
      <c r="M62" s="261">
        <f>Данные!N58*Данные!N80</f>
        <v>0</v>
      </c>
      <c r="N62" s="261">
        <f>Данные!O58*Данные!O80</f>
        <v>0</v>
      </c>
      <c r="O62" s="261">
        <f>Данные!P58*Данные!P80</f>
        <v>0</v>
      </c>
      <c r="P62" s="261">
        <f>Данные!Q58*Данные!Q80</f>
        <v>0</v>
      </c>
      <c r="Q62" s="261">
        <f>Данные!R58*Данные!R80</f>
        <v>0</v>
      </c>
      <c r="R62" s="261">
        <f>Данные!S58*Данные!S80</f>
        <v>0</v>
      </c>
      <c r="S62" s="261">
        <f>Данные!T58*Данные!T80</f>
        <v>0</v>
      </c>
      <c r="T62" s="261">
        <f>Данные!U58*Данные!U80</f>
        <v>0</v>
      </c>
      <c r="U62" s="261">
        <f>Данные!V58*Данные!V80</f>
        <v>0</v>
      </c>
      <c r="V62" s="261">
        <f>Данные!W58*Данные!W80</f>
        <v>0</v>
      </c>
      <c r="W62" s="261">
        <f>Данные!X58*Данные!X80</f>
        <v>0</v>
      </c>
      <c r="X62" s="261">
        <f>Данные!Y58*Данные!Y80</f>
        <v>0</v>
      </c>
      <c r="Y62" s="261">
        <f>Данные!Z58*Данные!Z80</f>
        <v>0</v>
      </c>
    </row>
    <row r="63" spans="1:25" s="89" customFormat="1" ht="12.75" hidden="1" customHeight="1">
      <c r="A63" s="92" t="str">
        <f>"    " &amp; Данные!A31</f>
        <v xml:space="preserve">    Продукт 19</v>
      </c>
      <c r="B63" s="261">
        <f>Данные!C59*Данные!C81</f>
        <v>0</v>
      </c>
      <c r="C63" s="261">
        <f>Данные!D59*Данные!D81</f>
        <v>0</v>
      </c>
      <c r="D63" s="261">
        <f>Данные!E59*Данные!E81</f>
        <v>0</v>
      </c>
      <c r="E63" s="261">
        <f>Данные!F59*Данные!F81</f>
        <v>0</v>
      </c>
      <c r="F63" s="261">
        <f>Данные!G59*Данные!G81</f>
        <v>0</v>
      </c>
      <c r="G63" s="261">
        <f>Данные!H59*Данные!H81</f>
        <v>0</v>
      </c>
      <c r="H63" s="261">
        <f>Данные!I59*Данные!I81</f>
        <v>0</v>
      </c>
      <c r="I63" s="261">
        <f>Данные!J59*Данные!J81</f>
        <v>0</v>
      </c>
      <c r="J63" s="261">
        <f>Данные!K59*Данные!K81</f>
        <v>0</v>
      </c>
      <c r="K63" s="261">
        <f>Данные!L59*Данные!L81</f>
        <v>0</v>
      </c>
      <c r="L63" s="261">
        <f>Данные!M59*Данные!M81</f>
        <v>0</v>
      </c>
      <c r="M63" s="261">
        <f>Данные!N59*Данные!N81</f>
        <v>0</v>
      </c>
      <c r="N63" s="261">
        <f>Данные!O59*Данные!O81</f>
        <v>0</v>
      </c>
      <c r="O63" s="261">
        <f>Данные!P59*Данные!P81</f>
        <v>0</v>
      </c>
      <c r="P63" s="261">
        <f>Данные!Q59*Данные!Q81</f>
        <v>0</v>
      </c>
      <c r="Q63" s="261">
        <f>Данные!R59*Данные!R81</f>
        <v>0</v>
      </c>
      <c r="R63" s="261">
        <f>Данные!S59*Данные!S81</f>
        <v>0</v>
      </c>
      <c r="S63" s="261">
        <f>Данные!T59*Данные!T81</f>
        <v>0</v>
      </c>
      <c r="T63" s="261">
        <f>Данные!U59*Данные!U81</f>
        <v>0</v>
      </c>
      <c r="U63" s="261">
        <f>Данные!V59*Данные!V81</f>
        <v>0</v>
      </c>
      <c r="V63" s="261">
        <f>Данные!W59*Данные!W81</f>
        <v>0</v>
      </c>
      <c r="W63" s="261">
        <f>Данные!X59*Данные!X81</f>
        <v>0</v>
      </c>
      <c r="X63" s="261">
        <f>Данные!Y59*Данные!Y81</f>
        <v>0</v>
      </c>
      <c r="Y63" s="261">
        <f>Данные!Z59*Данные!Z81</f>
        <v>0</v>
      </c>
    </row>
    <row r="64" spans="1:25" s="89" customFormat="1" ht="12.75" hidden="1" customHeight="1">
      <c r="A64" s="317" t="str">
        <f>"    " &amp; Данные!A32</f>
        <v xml:space="preserve">    Продукт 20</v>
      </c>
      <c r="B64" s="318">
        <f>Данные!C60*Данные!C82</f>
        <v>0</v>
      </c>
      <c r="C64" s="318">
        <f>Данные!D60*Данные!D82</f>
        <v>0</v>
      </c>
      <c r="D64" s="318">
        <f>Данные!E60*Данные!E82</f>
        <v>0</v>
      </c>
      <c r="E64" s="318">
        <f>Данные!F60*Данные!F82</f>
        <v>0</v>
      </c>
      <c r="F64" s="318">
        <f>Данные!G60*Данные!G82</f>
        <v>0</v>
      </c>
      <c r="G64" s="318">
        <f>Данные!H60*Данные!H82</f>
        <v>0</v>
      </c>
      <c r="H64" s="318">
        <f>Данные!I60*Данные!I82</f>
        <v>0</v>
      </c>
      <c r="I64" s="318">
        <f>Данные!J60*Данные!J82</f>
        <v>0</v>
      </c>
      <c r="J64" s="318">
        <f>Данные!K60*Данные!K82</f>
        <v>0</v>
      </c>
      <c r="K64" s="318">
        <f>Данные!L60*Данные!L82</f>
        <v>0</v>
      </c>
      <c r="L64" s="318">
        <f>Данные!M60*Данные!M82</f>
        <v>0</v>
      </c>
      <c r="M64" s="318">
        <f>Данные!N60*Данные!N82</f>
        <v>0</v>
      </c>
      <c r="N64" s="318">
        <f>Данные!O60*Данные!O82</f>
        <v>0</v>
      </c>
      <c r="O64" s="318">
        <f>Данные!P60*Данные!P82</f>
        <v>0</v>
      </c>
      <c r="P64" s="318">
        <f>Данные!Q60*Данные!Q82</f>
        <v>0</v>
      </c>
      <c r="Q64" s="318">
        <f>Данные!R60*Данные!R82</f>
        <v>0</v>
      </c>
      <c r="R64" s="318">
        <f>Данные!S60*Данные!S82</f>
        <v>0</v>
      </c>
      <c r="S64" s="318">
        <f>Данные!T60*Данные!T82</f>
        <v>0</v>
      </c>
      <c r="T64" s="318">
        <f>Данные!U60*Данные!U82</f>
        <v>0</v>
      </c>
      <c r="U64" s="318">
        <f>Данные!V60*Данные!V82</f>
        <v>0</v>
      </c>
      <c r="V64" s="318">
        <f>Данные!W60*Данные!W82</f>
        <v>0</v>
      </c>
      <c r="W64" s="318">
        <f>Данные!X60*Данные!X82</f>
        <v>0</v>
      </c>
      <c r="X64" s="318">
        <f>Данные!Y60*Данные!Y82</f>
        <v>0</v>
      </c>
      <c r="Y64" s="318">
        <f>Данные!Z60*Данные!Z82</f>
        <v>0</v>
      </c>
    </row>
    <row r="65" spans="1:25" s="33" customFormat="1">
      <c r="A65" s="33" t="s">
        <v>239</v>
      </c>
      <c r="B65" s="320">
        <f>SUM(B66:B85)</f>
        <v>0</v>
      </c>
      <c r="C65" s="320">
        <f t="shared" ref="C65:M65" si="3">SUM(C66:C85)</f>
        <v>0</v>
      </c>
      <c r="D65" s="320">
        <f t="shared" si="3"/>
        <v>0</v>
      </c>
      <c r="E65" s="320">
        <f t="shared" si="3"/>
        <v>0</v>
      </c>
      <c r="F65" s="320">
        <f t="shared" si="3"/>
        <v>0</v>
      </c>
      <c r="G65" s="320">
        <f t="shared" si="3"/>
        <v>0</v>
      </c>
      <c r="H65" s="320">
        <f t="shared" si="3"/>
        <v>0</v>
      </c>
      <c r="I65" s="320">
        <f t="shared" si="3"/>
        <v>0</v>
      </c>
      <c r="J65" s="320">
        <f t="shared" si="3"/>
        <v>0</v>
      </c>
      <c r="K65" s="320">
        <f t="shared" si="3"/>
        <v>0</v>
      </c>
      <c r="L65" s="320">
        <f t="shared" si="3"/>
        <v>0</v>
      </c>
      <c r="M65" s="320">
        <f t="shared" si="3"/>
        <v>0</v>
      </c>
    </row>
    <row r="66" spans="1:25" s="89" customFormat="1" ht="12.75" customHeight="1">
      <c r="A66" s="315" t="str">
        <f>"    " &amp; Данные!A13</f>
        <v xml:space="preserve">    товар1</v>
      </c>
      <c r="B66" s="316">
        <f>Данные!C85*Данные!C41</f>
        <v>0</v>
      </c>
      <c r="C66" s="316">
        <f>Данные!D85*Данные!D41</f>
        <v>0</v>
      </c>
      <c r="D66" s="316">
        <f>Данные!E85*Данные!E41</f>
        <v>0</v>
      </c>
      <c r="E66" s="316">
        <f>Данные!F85*Данные!F41</f>
        <v>0</v>
      </c>
      <c r="F66" s="316">
        <f>Данные!G85*Данные!G41</f>
        <v>0</v>
      </c>
      <c r="G66" s="316">
        <f>Данные!H85*Данные!H41</f>
        <v>0</v>
      </c>
      <c r="H66" s="316">
        <f>Данные!I85*Данные!I41</f>
        <v>0</v>
      </c>
      <c r="I66" s="316">
        <f>Данные!J85*Данные!J41</f>
        <v>0</v>
      </c>
      <c r="J66" s="316">
        <f>Данные!K85*Данные!K41</f>
        <v>0</v>
      </c>
      <c r="K66" s="316">
        <f>Данные!L85*Данные!L41</f>
        <v>0</v>
      </c>
      <c r="L66" s="316">
        <f>Данные!M85*Данные!M41</f>
        <v>0</v>
      </c>
      <c r="M66" s="316">
        <f>Данные!N85*Данные!N41</f>
        <v>0</v>
      </c>
      <c r="N66" s="316">
        <f>Данные!O85*Данные!O41</f>
        <v>0</v>
      </c>
      <c r="O66" s="316">
        <f>Данные!P85*Данные!P41</f>
        <v>0</v>
      </c>
      <c r="P66" s="316">
        <f>Данные!Q85*Данные!Q41</f>
        <v>0</v>
      </c>
      <c r="Q66" s="316">
        <f>Данные!R85*Данные!R41</f>
        <v>0</v>
      </c>
      <c r="R66" s="316">
        <f>Данные!S85*Данные!S41</f>
        <v>0</v>
      </c>
      <c r="S66" s="316">
        <f>Данные!T85*Данные!T41</f>
        <v>0</v>
      </c>
      <c r="T66" s="316">
        <f>Данные!U85*Данные!U41</f>
        <v>0</v>
      </c>
      <c r="U66" s="316">
        <f>Данные!V85*Данные!V41</f>
        <v>0</v>
      </c>
      <c r="V66" s="316">
        <f>Данные!W85*Данные!W41</f>
        <v>0</v>
      </c>
      <c r="W66" s="316">
        <f>Данные!X85*Данные!X41</f>
        <v>0</v>
      </c>
      <c r="X66" s="316">
        <f>Данные!Y85*Данные!Y41</f>
        <v>0</v>
      </c>
      <c r="Y66" s="316">
        <f>Данные!Z85*Данные!Z41</f>
        <v>0</v>
      </c>
    </row>
    <row r="67" spans="1:25" s="89" customFormat="1" ht="12.75" hidden="1" customHeight="1">
      <c r="A67" s="92" t="str">
        <f>"    " &amp; Данные!A14</f>
        <v xml:space="preserve">    косметика</v>
      </c>
      <c r="B67" s="261">
        <f>Данные!C86*Данные!C42</f>
        <v>0</v>
      </c>
      <c r="C67" s="261">
        <f>Данные!D86*Данные!D42</f>
        <v>0</v>
      </c>
      <c r="D67" s="261">
        <f>Данные!E86*Данные!E42</f>
        <v>0</v>
      </c>
      <c r="E67" s="261">
        <f>Данные!F86*Данные!F42</f>
        <v>0</v>
      </c>
      <c r="F67" s="261">
        <f>Данные!G86*Данные!G42</f>
        <v>0</v>
      </c>
      <c r="G67" s="261">
        <f>Данные!H86*Данные!H42</f>
        <v>0</v>
      </c>
      <c r="H67" s="261">
        <f>Данные!I86*Данные!I42</f>
        <v>0</v>
      </c>
      <c r="I67" s="261">
        <f>Данные!J86*Данные!J42</f>
        <v>0</v>
      </c>
      <c r="J67" s="261">
        <f>Данные!K86*Данные!K42</f>
        <v>0</v>
      </c>
      <c r="K67" s="261">
        <f>Данные!L86*Данные!L42</f>
        <v>0</v>
      </c>
      <c r="L67" s="261">
        <f>Данные!M86*Данные!M42</f>
        <v>0</v>
      </c>
      <c r="M67" s="261">
        <f>Данные!N86*Данные!N42</f>
        <v>0</v>
      </c>
      <c r="N67" s="261">
        <f>Данные!O86*Данные!O42</f>
        <v>0</v>
      </c>
      <c r="O67" s="261">
        <f>Данные!P86*Данные!P42</f>
        <v>0</v>
      </c>
      <c r="P67" s="261">
        <f>Данные!Q86*Данные!Q42</f>
        <v>0</v>
      </c>
      <c r="Q67" s="261">
        <f>Данные!R86*Данные!R42</f>
        <v>0</v>
      </c>
      <c r="R67" s="261">
        <f>Данные!S86*Данные!S42</f>
        <v>0</v>
      </c>
      <c r="S67" s="261">
        <f>Данные!T86*Данные!T42</f>
        <v>0</v>
      </c>
      <c r="T67" s="261">
        <f>Данные!U86*Данные!U42</f>
        <v>0</v>
      </c>
      <c r="U67" s="261">
        <f>Данные!V86*Данные!V42</f>
        <v>0</v>
      </c>
      <c r="V67" s="261">
        <f>Данные!W86*Данные!W42</f>
        <v>0</v>
      </c>
      <c r="W67" s="261">
        <f>Данные!X86*Данные!X42</f>
        <v>0</v>
      </c>
      <c r="X67" s="261">
        <f>Данные!Y86*Данные!Y42</f>
        <v>0</v>
      </c>
      <c r="Y67" s="261">
        <f>Данные!Z86*Данные!Z42</f>
        <v>0</v>
      </c>
    </row>
    <row r="68" spans="1:25" s="89" customFormat="1" ht="12.75" hidden="1" customHeight="1">
      <c r="A68" s="92" t="str">
        <f>"    " &amp; Данные!A15</f>
        <v xml:space="preserve">    товары для дома</v>
      </c>
      <c r="B68" s="261">
        <f>Данные!C87*Данные!C43</f>
        <v>0</v>
      </c>
      <c r="C68" s="261">
        <f>Данные!D87*Данные!D43</f>
        <v>0</v>
      </c>
      <c r="D68" s="261">
        <f>Данные!E87*Данные!E43</f>
        <v>0</v>
      </c>
      <c r="E68" s="261">
        <f>Данные!F87*Данные!F43</f>
        <v>0</v>
      </c>
      <c r="F68" s="261">
        <f>Данные!G87*Данные!G43</f>
        <v>0</v>
      </c>
      <c r="G68" s="261">
        <f>Данные!H87*Данные!H43</f>
        <v>0</v>
      </c>
      <c r="H68" s="261">
        <f>Данные!I87*Данные!I43</f>
        <v>0</v>
      </c>
      <c r="I68" s="261">
        <f>Данные!J87*Данные!J43</f>
        <v>0</v>
      </c>
      <c r="J68" s="261">
        <f>Данные!K87*Данные!K43</f>
        <v>0</v>
      </c>
      <c r="K68" s="261">
        <f>Данные!L87*Данные!L43</f>
        <v>0</v>
      </c>
      <c r="L68" s="261">
        <f>Данные!M87*Данные!M43</f>
        <v>0</v>
      </c>
      <c r="M68" s="261">
        <f>Данные!N87*Данные!N43</f>
        <v>0</v>
      </c>
      <c r="N68" s="261">
        <f>Данные!O87*Данные!O43</f>
        <v>0</v>
      </c>
      <c r="O68" s="261">
        <f>Данные!P87*Данные!P43</f>
        <v>0</v>
      </c>
      <c r="P68" s="261">
        <f>Данные!Q87*Данные!Q43</f>
        <v>0</v>
      </c>
      <c r="Q68" s="261">
        <f>Данные!R87*Данные!R43</f>
        <v>0</v>
      </c>
      <c r="R68" s="261">
        <f>Данные!S87*Данные!S43</f>
        <v>0</v>
      </c>
      <c r="S68" s="261">
        <f>Данные!T87*Данные!T43</f>
        <v>0</v>
      </c>
      <c r="T68" s="261">
        <f>Данные!U87*Данные!U43</f>
        <v>0</v>
      </c>
      <c r="U68" s="261">
        <f>Данные!V87*Данные!V43</f>
        <v>0</v>
      </c>
      <c r="V68" s="261">
        <f>Данные!W87*Данные!W43</f>
        <v>0</v>
      </c>
      <c r="W68" s="261">
        <f>Данные!X87*Данные!X43</f>
        <v>0</v>
      </c>
      <c r="X68" s="261">
        <f>Данные!Y87*Данные!Y43</f>
        <v>0</v>
      </c>
      <c r="Y68" s="261">
        <f>Данные!Z87*Данные!Z43</f>
        <v>0</v>
      </c>
    </row>
    <row r="69" spans="1:25" s="89" customFormat="1" ht="12.75" hidden="1" customHeight="1">
      <c r="A69" s="92" t="str">
        <f>"    " &amp; Данные!A16</f>
        <v xml:space="preserve">    Продукт 4</v>
      </c>
      <c r="B69" s="261">
        <f>Данные!C88*Данные!C44</f>
        <v>0</v>
      </c>
      <c r="C69" s="261">
        <f>Данные!D88*Данные!D44</f>
        <v>0</v>
      </c>
      <c r="D69" s="261">
        <f>Данные!E88*Данные!E44</f>
        <v>0</v>
      </c>
      <c r="E69" s="261">
        <f>Данные!F88*Данные!F44</f>
        <v>0</v>
      </c>
      <c r="F69" s="261">
        <f>Данные!G88*Данные!G44</f>
        <v>0</v>
      </c>
      <c r="G69" s="261">
        <f>Данные!H88*Данные!H44</f>
        <v>0</v>
      </c>
      <c r="H69" s="261">
        <f>Данные!I88*Данные!I44</f>
        <v>0</v>
      </c>
      <c r="I69" s="261">
        <f>Данные!J88*Данные!J44</f>
        <v>0</v>
      </c>
      <c r="J69" s="261">
        <f>Данные!K88*Данные!K44</f>
        <v>0</v>
      </c>
      <c r="K69" s="261">
        <f>Данные!L88*Данные!L44</f>
        <v>0</v>
      </c>
      <c r="L69" s="261">
        <f>Данные!M88*Данные!M44</f>
        <v>0</v>
      </c>
      <c r="M69" s="261">
        <f>Данные!N88*Данные!N44</f>
        <v>0</v>
      </c>
      <c r="N69" s="261">
        <f>Данные!O88*Данные!O44</f>
        <v>0</v>
      </c>
      <c r="O69" s="261">
        <f>Данные!P88*Данные!P44</f>
        <v>0</v>
      </c>
      <c r="P69" s="261">
        <f>Данные!Q88*Данные!Q44</f>
        <v>0</v>
      </c>
      <c r="Q69" s="261">
        <f>Данные!R88*Данные!R44</f>
        <v>0</v>
      </c>
      <c r="R69" s="261">
        <f>Данные!S88*Данные!S44</f>
        <v>0</v>
      </c>
      <c r="S69" s="261">
        <f>Данные!T88*Данные!T44</f>
        <v>0</v>
      </c>
      <c r="T69" s="261">
        <f>Данные!U88*Данные!U44</f>
        <v>0</v>
      </c>
      <c r="U69" s="261">
        <f>Данные!V88*Данные!V44</f>
        <v>0</v>
      </c>
      <c r="V69" s="261">
        <f>Данные!W88*Данные!W44</f>
        <v>0</v>
      </c>
      <c r="W69" s="261">
        <f>Данные!X88*Данные!X44</f>
        <v>0</v>
      </c>
      <c r="X69" s="261">
        <f>Данные!Y88*Данные!Y44</f>
        <v>0</v>
      </c>
      <c r="Y69" s="261">
        <f>Данные!Z88*Данные!Z44</f>
        <v>0</v>
      </c>
    </row>
    <row r="70" spans="1:25" s="89" customFormat="1" ht="12.75" hidden="1" customHeight="1">
      <c r="A70" s="92" t="str">
        <f>"    " &amp; Данные!A17</f>
        <v xml:space="preserve">    Продукт 5</v>
      </c>
      <c r="B70" s="261">
        <f>Данные!C89*Данные!C45</f>
        <v>0</v>
      </c>
      <c r="C70" s="261">
        <f>Данные!D89*Данные!D45</f>
        <v>0</v>
      </c>
      <c r="D70" s="261">
        <f>Данные!E89*Данные!E45</f>
        <v>0</v>
      </c>
      <c r="E70" s="261">
        <f>Данные!F89*Данные!F45</f>
        <v>0</v>
      </c>
      <c r="F70" s="261">
        <f>Данные!G89*Данные!G45</f>
        <v>0</v>
      </c>
      <c r="G70" s="261">
        <f>Данные!H89*Данные!H45</f>
        <v>0</v>
      </c>
      <c r="H70" s="261">
        <f>Данные!I89*Данные!I45</f>
        <v>0</v>
      </c>
      <c r="I70" s="261">
        <f>Данные!J89*Данные!J45</f>
        <v>0</v>
      </c>
      <c r="J70" s="261">
        <f>Данные!K89*Данные!K45</f>
        <v>0</v>
      </c>
      <c r="K70" s="261">
        <f>Данные!L89*Данные!L45</f>
        <v>0</v>
      </c>
      <c r="L70" s="261">
        <f>Данные!M89*Данные!M45</f>
        <v>0</v>
      </c>
      <c r="M70" s="261">
        <f>Данные!N89*Данные!N45</f>
        <v>0</v>
      </c>
      <c r="N70" s="261">
        <f>Данные!O89*Данные!O45</f>
        <v>0</v>
      </c>
      <c r="O70" s="261">
        <f>Данные!P89*Данные!P45</f>
        <v>0</v>
      </c>
      <c r="P70" s="261">
        <f>Данные!Q89*Данные!Q45</f>
        <v>0</v>
      </c>
      <c r="Q70" s="261">
        <f>Данные!R89*Данные!R45</f>
        <v>0</v>
      </c>
      <c r="R70" s="261">
        <f>Данные!S89*Данные!S45</f>
        <v>0</v>
      </c>
      <c r="S70" s="261">
        <f>Данные!T89*Данные!T45</f>
        <v>0</v>
      </c>
      <c r="T70" s="261">
        <f>Данные!U89*Данные!U45</f>
        <v>0</v>
      </c>
      <c r="U70" s="261">
        <f>Данные!V89*Данные!V45</f>
        <v>0</v>
      </c>
      <c r="V70" s="261">
        <f>Данные!W89*Данные!W45</f>
        <v>0</v>
      </c>
      <c r="W70" s="261">
        <f>Данные!X89*Данные!X45</f>
        <v>0</v>
      </c>
      <c r="X70" s="261">
        <f>Данные!Y89*Данные!Y45</f>
        <v>0</v>
      </c>
      <c r="Y70" s="261">
        <f>Данные!Z89*Данные!Z45</f>
        <v>0</v>
      </c>
    </row>
    <row r="71" spans="1:25" s="89" customFormat="1" ht="12.75" hidden="1" customHeight="1">
      <c r="A71" s="92" t="str">
        <f>"    " &amp; Данные!A18</f>
        <v xml:space="preserve">    Продукт 6</v>
      </c>
      <c r="B71" s="261">
        <f>Данные!C90*Данные!C46</f>
        <v>0</v>
      </c>
      <c r="C71" s="261">
        <f>Данные!D90*Данные!D46</f>
        <v>0</v>
      </c>
      <c r="D71" s="261">
        <f>Данные!E90*Данные!E46</f>
        <v>0</v>
      </c>
      <c r="E71" s="261">
        <f>Данные!F90*Данные!F46</f>
        <v>0</v>
      </c>
      <c r="F71" s="261">
        <f>Данные!G90*Данные!G46</f>
        <v>0</v>
      </c>
      <c r="G71" s="261">
        <f>Данные!H90*Данные!H46</f>
        <v>0</v>
      </c>
      <c r="H71" s="261">
        <f>Данные!I90*Данные!I46</f>
        <v>0</v>
      </c>
      <c r="I71" s="261">
        <f>Данные!J90*Данные!J46</f>
        <v>0</v>
      </c>
      <c r="J71" s="261">
        <f>Данные!K90*Данные!K46</f>
        <v>0</v>
      </c>
      <c r="K71" s="261">
        <f>Данные!L90*Данные!L46</f>
        <v>0</v>
      </c>
      <c r="L71" s="261">
        <f>Данные!M90*Данные!M46</f>
        <v>0</v>
      </c>
      <c r="M71" s="261">
        <f>Данные!N90*Данные!N46</f>
        <v>0</v>
      </c>
      <c r="N71" s="261">
        <f>Данные!O90*Данные!O46</f>
        <v>0</v>
      </c>
      <c r="O71" s="261">
        <f>Данные!P90*Данные!P46</f>
        <v>0</v>
      </c>
      <c r="P71" s="261">
        <f>Данные!Q90*Данные!Q46</f>
        <v>0</v>
      </c>
      <c r="Q71" s="261">
        <f>Данные!R90*Данные!R46</f>
        <v>0</v>
      </c>
      <c r="R71" s="261">
        <f>Данные!S90*Данные!S46</f>
        <v>0</v>
      </c>
      <c r="S71" s="261">
        <f>Данные!T90*Данные!T46</f>
        <v>0</v>
      </c>
      <c r="T71" s="261">
        <f>Данные!U90*Данные!U46</f>
        <v>0</v>
      </c>
      <c r="U71" s="261">
        <f>Данные!V90*Данные!V46</f>
        <v>0</v>
      </c>
      <c r="V71" s="261">
        <f>Данные!W90*Данные!W46</f>
        <v>0</v>
      </c>
      <c r="W71" s="261">
        <f>Данные!X90*Данные!X46</f>
        <v>0</v>
      </c>
      <c r="X71" s="261">
        <f>Данные!Y90*Данные!Y46</f>
        <v>0</v>
      </c>
      <c r="Y71" s="261">
        <f>Данные!Z90*Данные!Z46</f>
        <v>0</v>
      </c>
    </row>
    <row r="72" spans="1:25" s="89" customFormat="1" ht="12.75" hidden="1" customHeight="1">
      <c r="A72" s="92" t="str">
        <f>"    " &amp; Данные!A19</f>
        <v xml:space="preserve">    Продукт 7</v>
      </c>
      <c r="B72" s="261">
        <f>Данные!C91*Данные!C47</f>
        <v>0</v>
      </c>
      <c r="C72" s="261">
        <f>Данные!D91*Данные!D47</f>
        <v>0</v>
      </c>
      <c r="D72" s="261">
        <f>Данные!E91*Данные!E47</f>
        <v>0</v>
      </c>
      <c r="E72" s="261">
        <f>Данные!F91*Данные!F47</f>
        <v>0</v>
      </c>
      <c r="F72" s="261">
        <f>Данные!G91*Данные!G47</f>
        <v>0</v>
      </c>
      <c r="G72" s="261">
        <f>Данные!H91*Данные!H47</f>
        <v>0</v>
      </c>
      <c r="H72" s="261">
        <f>Данные!I91*Данные!I47</f>
        <v>0</v>
      </c>
      <c r="I72" s="261">
        <f>Данные!J91*Данные!J47</f>
        <v>0</v>
      </c>
      <c r="J72" s="261">
        <f>Данные!K91*Данные!K47</f>
        <v>0</v>
      </c>
      <c r="K72" s="261">
        <f>Данные!L91*Данные!L47</f>
        <v>0</v>
      </c>
      <c r="L72" s="261">
        <f>Данные!M91*Данные!M47</f>
        <v>0</v>
      </c>
      <c r="M72" s="261">
        <f>Данные!N91*Данные!N47</f>
        <v>0</v>
      </c>
      <c r="N72" s="261">
        <f>Данные!O91*Данные!O47</f>
        <v>0</v>
      </c>
      <c r="O72" s="261">
        <f>Данные!P91*Данные!P47</f>
        <v>0</v>
      </c>
      <c r="P72" s="261">
        <f>Данные!Q91*Данные!Q47</f>
        <v>0</v>
      </c>
      <c r="Q72" s="261">
        <f>Данные!R91*Данные!R47</f>
        <v>0</v>
      </c>
      <c r="R72" s="261">
        <f>Данные!S91*Данные!S47</f>
        <v>0</v>
      </c>
      <c r="S72" s="261">
        <f>Данные!T91*Данные!T47</f>
        <v>0</v>
      </c>
      <c r="T72" s="261">
        <f>Данные!U91*Данные!U47</f>
        <v>0</v>
      </c>
      <c r="U72" s="261">
        <f>Данные!V91*Данные!V47</f>
        <v>0</v>
      </c>
      <c r="V72" s="261">
        <f>Данные!W91*Данные!W47</f>
        <v>0</v>
      </c>
      <c r="W72" s="261">
        <f>Данные!X91*Данные!X47</f>
        <v>0</v>
      </c>
      <c r="X72" s="261">
        <f>Данные!Y91*Данные!Y47</f>
        <v>0</v>
      </c>
      <c r="Y72" s="261">
        <f>Данные!Z91*Данные!Z47</f>
        <v>0</v>
      </c>
    </row>
    <row r="73" spans="1:25" s="89" customFormat="1" ht="12.75" hidden="1" customHeight="1">
      <c r="A73" s="92" t="str">
        <f>"    " &amp; Данные!A20</f>
        <v xml:space="preserve">    Продукт 8</v>
      </c>
      <c r="B73" s="261">
        <f>Данные!C92*Данные!C48</f>
        <v>0</v>
      </c>
      <c r="C73" s="261">
        <f>Данные!D92*Данные!D48</f>
        <v>0</v>
      </c>
      <c r="D73" s="261">
        <f>Данные!E92*Данные!E48</f>
        <v>0</v>
      </c>
      <c r="E73" s="261">
        <f>Данные!F92*Данные!F48</f>
        <v>0</v>
      </c>
      <c r="F73" s="261">
        <f>Данные!G92*Данные!G48</f>
        <v>0</v>
      </c>
      <c r="G73" s="261">
        <f>Данные!H92*Данные!H48</f>
        <v>0</v>
      </c>
      <c r="H73" s="261">
        <f>Данные!I92*Данные!I48</f>
        <v>0</v>
      </c>
      <c r="I73" s="261">
        <f>Данные!J92*Данные!J48</f>
        <v>0</v>
      </c>
      <c r="J73" s="261">
        <f>Данные!K92*Данные!K48</f>
        <v>0</v>
      </c>
      <c r="K73" s="261">
        <f>Данные!L92*Данные!L48</f>
        <v>0</v>
      </c>
      <c r="L73" s="261">
        <f>Данные!M92*Данные!M48</f>
        <v>0</v>
      </c>
      <c r="M73" s="261">
        <f>Данные!N92*Данные!N48</f>
        <v>0</v>
      </c>
      <c r="N73" s="261">
        <f>Данные!O92*Данные!O48</f>
        <v>0</v>
      </c>
      <c r="O73" s="261">
        <f>Данные!P92*Данные!P48</f>
        <v>0</v>
      </c>
      <c r="P73" s="261">
        <f>Данные!Q92*Данные!Q48</f>
        <v>0</v>
      </c>
      <c r="Q73" s="261">
        <f>Данные!R92*Данные!R48</f>
        <v>0</v>
      </c>
      <c r="R73" s="261">
        <f>Данные!S92*Данные!S48</f>
        <v>0</v>
      </c>
      <c r="S73" s="261">
        <f>Данные!T92*Данные!T48</f>
        <v>0</v>
      </c>
      <c r="T73" s="261">
        <f>Данные!U92*Данные!U48</f>
        <v>0</v>
      </c>
      <c r="U73" s="261">
        <f>Данные!V92*Данные!V48</f>
        <v>0</v>
      </c>
      <c r="V73" s="261">
        <f>Данные!W92*Данные!W48</f>
        <v>0</v>
      </c>
      <c r="W73" s="261">
        <f>Данные!X92*Данные!X48</f>
        <v>0</v>
      </c>
      <c r="X73" s="261">
        <f>Данные!Y92*Данные!Y48</f>
        <v>0</v>
      </c>
      <c r="Y73" s="261">
        <f>Данные!Z92*Данные!Z48</f>
        <v>0</v>
      </c>
    </row>
    <row r="74" spans="1:25" s="89" customFormat="1" ht="12.75" hidden="1" customHeight="1">
      <c r="A74" s="92" t="str">
        <f>"    " &amp; Данные!A21</f>
        <v xml:space="preserve">    Продукт 9</v>
      </c>
      <c r="B74" s="261">
        <f>Данные!C93*Данные!C49</f>
        <v>0</v>
      </c>
      <c r="C74" s="261">
        <f>Данные!D93*Данные!D49</f>
        <v>0</v>
      </c>
      <c r="D74" s="261">
        <f>Данные!E93*Данные!E49</f>
        <v>0</v>
      </c>
      <c r="E74" s="261">
        <f>Данные!F93*Данные!F49</f>
        <v>0</v>
      </c>
      <c r="F74" s="261">
        <f>Данные!G93*Данные!G49</f>
        <v>0</v>
      </c>
      <c r="G74" s="261">
        <f>Данные!H93*Данные!H49</f>
        <v>0</v>
      </c>
      <c r="H74" s="261">
        <f>Данные!I93*Данные!I49</f>
        <v>0</v>
      </c>
      <c r="I74" s="261">
        <f>Данные!J93*Данные!J49</f>
        <v>0</v>
      </c>
      <c r="J74" s="261">
        <f>Данные!K93*Данные!K49</f>
        <v>0</v>
      </c>
      <c r="K74" s="261">
        <f>Данные!L93*Данные!L49</f>
        <v>0</v>
      </c>
      <c r="L74" s="261">
        <f>Данные!M93*Данные!M49</f>
        <v>0</v>
      </c>
      <c r="M74" s="261">
        <f>Данные!N93*Данные!N49</f>
        <v>0</v>
      </c>
      <c r="N74" s="261">
        <f>Данные!O93*Данные!O49</f>
        <v>0</v>
      </c>
      <c r="O74" s="261">
        <f>Данные!P93*Данные!P49</f>
        <v>0</v>
      </c>
      <c r="P74" s="261">
        <f>Данные!Q93*Данные!Q49</f>
        <v>0</v>
      </c>
      <c r="Q74" s="261">
        <f>Данные!R93*Данные!R49</f>
        <v>0</v>
      </c>
      <c r="R74" s="261">
        <f>Данные!S93*Данные!S49</f>
        <v>0</v>
      </c>
      <c r="S74" s="261">
        <f>Данные!T93*Данные!T49</f>
        <v>0</v>
      </c>
      <c r="T74" s="261">
        <f>Данные!U93*Данные!U49</f>
        <v>0</v>
      </c>
      <c r="U74" s="261">
        <f>Данные!V93*Данные!V49</f>
        <v>0</v>
      </c>
      <c r="V74" s="261">
        <f>Данные!W93*Данные!W49</f>
        <v>0</v>
      </c>
      <c r="W74" s="261">
        <f>Данные!X93*Данные!X49</f>
        <v>0</v>
      </c>
      <c r="X74" s="261">
        <f>Данные!Y93*Данные!Y49</f>
        <v>0</v>
      </c>
      <c r="Y74" s="261">
        <f>Данные!Z93*Данные!Z49</f>
        <v>0</v>
      </c>
    </row>
    <row r="75" spans="1:25" s="89" customFormat="1" ht="12.75" hidden="1" customHeight="1">
      <c r="A75" s="92" t="str">
        <f>"    " &amp; Данные!A22</f>
        <v xml:space="preserve">    Продукт 10</v>
      </c>
      <c r="B75" s="261">
        <f>Данные!C94*Данные!C50</f>
        <v>0</v>
      </c>
      <c r="C75" s="261">
        <f>Данные!D94*Данные!D50</f>
        <v>0</v>
      </c>
      <c r="D75" s="261">
        <f>Данные!E94*Данные!E50</f>
        <v>0</v>
      </c>
      <c r="E75" s="261">
        <f>Данные!F94*Данные!F50</f>
        <v>0</v>
      </c>
      <c r="F75" s="261">
        <f>Данные!G94*Данные!G50</f>
        <v>0</v>
      </c>
      <c r="G75" s="261">
        <f>Данные!H94*Данные!H50</f>
        <v>0</v>
      </c>
      <c r="H75" s="261">
        <f>Данные!I94*Данные!I50</f>
        <v>0</v>
      </c>
      <c r="I75" s="261">
        <f>Данные!J94*Данные!J50</f>
        <v>0</v>
      </c>
      <c r="J75" s="261">
        <f>Данные!K94*Данные!K50</f>
        <v>0</v>
      </c>
      <c r="K75" s="261">
        <f>Данные!L94*Данные!L50</f>
        <v>0</v>
      </c>
      <c r="L75" s="261">
        <f>Данные!M94*Данные!M50</f>
        <v>0</v>
      </c>
      <c r="M75" s="261">
        <f>Данные!N94*Данные!N50</f>
        <v>0</v>
      </c>
      <c r="N75" s="261">
        <f>Данные!O94*Данные!O50</f>
        <v>0</v>
      </c>
      <c r="O75" s="261">
        <f>Данные!P94*Данные!P50</f>
        <v>0</v>
      </c>
      <c r="P75" s="261">
        <f>Данные!Q94*Данные!Q50</f>
        <v>0</v>
      </c>
      <c r="Q75" s="261">
        <f>Данные!R94*Данные!R50</f>
        <v>0</v>
      </c>
      <c r="R75" s="261">
        <f>Данные!S94*Данные!S50</f>
        <v>0</v>
      </c>
      <c r="S75" s="261">
        <f>Данные!T94*Данные!T50</f>
        <v>0</v>
      </c>
      <c r="T75" s="261">
        <f>Данные!U94*Данные!U50</f>
        <v>0</v>
      </c>
      <c r="U75" s="261">
        <f>Данные!V94*Данные!V50</f>
        <v>0</v>
      </c>
      <c r="V75" s="261">
        <f>Данные!W94*Данные!W50</f>
        <v>0</v>
      </c>
      <c r="W75" s="261">
        <f>Данные!X94*Данные!X50</f>
        <v>0</v>
      </c>
      <c r="X75" s="261">
        <f>Данные!Y94*Данные!Y50</f>
        <v>0</v>
      </c>
      <c r="Y75" s="261">
        <f>Данные!Z94*Данные!Z50</f>
        <v>0</v>
      </c>
    </row>
    <row r="76" spans="1:25" s="89" customFormat="1" ht="12.75" hidden="1" customHeight="1">
      <c r="A76" s="92" t="str">
        <f>"    " &amp; Данные!A23</f>
        <v xml:space="preserve">    Продукт 11</v>
      </c>
      <c r="B76" s="261">
        <f>Данные!C95*Данные!C51</f>
        <v>0</v>
      </c>
      <c r="C76" s="261">
        <f>Данные!D95*Данные!D51</f>
        <v>0</v>
      </c>
      <c r="D76" s="261">
        <f>Данные!E95*Данные!E51</f>
        <v>0</v>
      </c>
      <c r="E76" s="261">
        <f>Данные!F95*Данные!F51</f>
        <v>0</v>
      </c>
      <c r="F76" s="261">
        <f>Данные!G95*Данные!G51</f>
        <v>0</v>
      </c>
      <c r="G76" s="261">
        <f>Данные!H95*Данные!H51</f>
        <v>0</v>
      </c>
      <c r="H76" s="261">
        <f>Данные!I95*Данные!I51</f>
        <v>0</v>
      </c>
      <c r="I76" s="261">
        <f>Данные!J95*Данные!J51</f>
        <v>0</v>
      </c>
      <c r="J76" s="261">
        <f>Данные!K95*Данные!K51</f>
        <v>0</v>
      </c>
      <c r="K76" s="261">
        <f>Данные!L95*Данные!L51</f>
        <v>0</v>
      </c>
      <c r="L76" s="261">
        <f>Данные!M95*Данные!M51</f>
        <v>0</v>
      </c>
      <c r="M76" s="261">
        <f>Данные!N95*Данные!N51</f>
        <v>0</v>
      </c>
      <c r="N76" s="261">
        <f>Данные!O95*Данные!O51</f>
        <v>0</v>
      </c>
      <c r="O76" s="261">
        <f>Данные!P95*Данные!P51</f>
        <v>0</v>
      </c>
      <c r="P76" s="261">
        <f>Данные!Q95*Данные!Q51</f>
        <v>0</v>
      </c>
      <c r="Q76" s="261">
        <f>Данные!R95*Данные!R51</f>
        <v>0</v>
      </c>
      <c r="R76" s="261">
        <f>Данные!S95*Данные!S51</f>
        <v>0</v>
      </c>
      <c r="S76" s="261">
        <f>Данные!T95*Данные!T51</f>
        <v>0</v>
      </c>
      <c r="T76" s="261">
        <f>Данные!U95*Данные!U51</f>
        <v>0</v>
      </c>
      <c r="U76" s="261">
        <f>Данные!V95*Данные!V51</f>
        <v>0</v>
      </c>
      <c r="V76" s="261">
        <f>Данные!W95*Данные!W51</f>
        <v>0</v>
      </c>
      <c r="W76" s="261">
        <f>Данные!X95*Данные!X51</f>
        <v>0</v>
      </c>
      <c r="X76" s="261">
        <f>Данные!Y95*Данные!Y51</f>
        <v>0</v>
      </c>
      <c r="Y76" s="261">
        <f>Данные!Z95*Данные!Z51</f>
        <v>0</v>
      </c>
    </row>
    <row r="77" spans="1:25" s="89" customFormat="1" ht="12.75" hidden="1" customHeight="1">
      <c r="A77" s="92" t="str">
        <f>"    " &amp; Данные!A24</f>
        <v xml:space="preserve">    Продукт 12</v>
      </c>
      <c r="B77" s="261">
        <f>Данные!C96*Данные!C52</f>
        <v>0</v>
      </c>
      <c r="C77" s="261">
        <f>Данные!D96*Данные!D52</f>
        <v>0</v>
      </c>
      <c r="D77" s="261">
        <f>Данные!E96*Данные!E52</f>
        <v>0</v>
      </c>
      <c r="E77" s="261">
        <f>Данные!F96*Данные!F52</f>
        <v>0</v>
      </c>
      <c r="F77" s="261">
        <f>Данные!G96*Данные!G52</f>
        <v>0</v>
      </c>
      <c r="G77" s="261">
        <f>Данные!H96*Данные!H52</f>
        <v>0</v>
      </c>
      <c r="H77" s="261">
        <f>Данные!I96*Данные!I52</f>
        <v>0</v>
      </c>
      <c r="I77" s="261">
        <f>Данные!J96*Данные!J52</f>
        <v>0</v>
      </c>
      <c r="J77" s="261">
        <f>Данные!K96*Данные!K52</f>
        <v>0</v>
      </c>
      <c r="K77" s="261">
        <f>Данные!L96*Данные!L52</f>
        <v>0</v>
      </c>
      <c r="L77" s="261">
        <f>Данные!M96*Данные!M52</f>
        <v>0</v>
      </c>
      <c r="M77" s="261">
        <f>Данные!N96*Данные!N52</f>
        <v>0</v>
      </c>
      <c r="N77" s="261">
        <f>Данные!O96*Данные!O52</f>
        <v>0</v>
      </c>
      <c r="O77" s="261">
        <f>Данные!P96*Данные!P52</f>
        <v>0</v>
      </c>
      <c r="P77" s="261">
        <f>Данные!Q96*Данные!Q52</f>
        <v>0</v>
      </c>
      <c r="Q77" s="261">
        <f>Данные!R96*Данные!R52</f>
        <v>0</v>
      </c>
      <c r="R77" s="261">
        <f>Данные!S96*Данные!S52</f>
        <v>0</v>
      </c>
      <c r="S77" s="261">
        <f>Данные!T96*Данные!T52</f>
        <v>0</v>
      </c>
      <c r="T77" s="261">
        <f>Данные!U96*Данные!U52</f>
        <v>0</v>
      </c>
      <c r="U77" s="261">
        <f>Данные!V96*Данные!V52</f>
        <v>0</v>
      </c>
      <c r="V77" s="261">
        <f>Данные!W96*Данные!W52</f>
        <v>0</v>
      </c>
      <c r="W77" s="261">
        <f>Данные!X96*Данные!X52</f>
        <v>0</v>
      </c>
      <c r="X77" s="261">
        <f>Данные!Y96*Данные!Y52</f>
        <v>0</v>
      </c>
      <c r="Y77" s="261">
        <f>Данные!Z96*Данные!Z52</f>
        <v>0</v>
      </c>
    </row>
    <row r="78" spans="1:25" s="89" customFormat="1" ht="12.75" hidden="1" customHeight="1">
      <c r="A78" s="92" t="str">
        <f>"    " &amp; Данные!A25</f>
        <v xml:space="preserve">    Продукт 13</v>
      </c>
      <c r="B78" s="261">
        <f>Данные!C97*Данные!C53</f>
        <v>0</v>
      </c>
      <c r="C78" s="261">
        <f>Данные!D97*Данные!D53</f>
        <v>0</v>
      </c>
      <c r="D78" s="261">
        <f>Данные!E97*Данные!E53</f>
        <v>0</v>
      </c>
      <c r="E78" s="261">
        <f>Данные!F97*Данные!F53</f>
        <v>0</v>
      </c>
      <c r="F78" s="261">
        <f>Данные!G97*Данные!G53</f>
        <v>0</v>
      </c>
      <c r="G78" s="261">
        <f>Данные!H97*Данные!H53</f>
        <v>0</v>
      </c>
      <c r="H78" s="261">
        <f>Данные!I97*Данные!I53</f>
        <v>0</v>
      </c>
      <c r="I78" s="261">
        <f>Данные!J97*Данные!J53</f>
        <v>0</v>
      </c>
      <c r="J78" s="261">
        <f>Данные!K97*Данные!K53</f>
        <v>0</v>
      </c>
      <c r="K78" s="261">
        <f>Данные!L97*Данные!L53</f>
        <v>0</v>
      </c>
      <c r="L78" s="261">
        <f>Данные!M97*Данные!M53</f>
        <v>0</v>
      </c>
      <c r="M78" s="261">
        <f>Данные!N97*Данные!N53</f>
        <v>0</v>
      </c>
      <c r="N78" s="261">
        <f>Данные!O97*Данные!O53</f>
        <v>0</v>
      </c>
      <c r="O78" s="261">
        <f>Данные!P97*Данные!P53</f>
        <v>0</v>
      </c>
      <c r="P78" s="261">
        <f>Данные!Q97*Данные!Q53</f>
        <v>0</v>
      </c>
      <c r="Q78" s="261">
        <f>Данные!R97*Данные!R53</f>
        <v>0</v>
      </c>
      <c r="R78" s="261">
        <f>Данные!S97*Данные!S53</f>
        <v>0</v>
      </c>
      <c r="S78" s="261">
        <f>Данные!T97*Данные!T53</f>
        <v>0</v>
      </c>
      <c r="T78" s="261">
        <f>Данные!U97*Данные!U53</f>
        <v>0</v>
      </c>
      <c r="U78" s="261">
        <f>Данные!V97*Данные!V53</f>
        <v>0</v>
      </c>
      <c r="V78" s="261">
        <f>Данные!W97*Данные!W53</f>
        <v>0</v>
      </c>
      <c r="W78" s="261">
        <f>Данные!X97*Данные!X53</f>
        <v>0</v>
      </c>
      <c r="X78" s="261">
        <f>Данные!Y97*Данные!Y53</f>
        <v>0</v>
      </c>
      <c r="Y78" s="261">
        <f>Данные!Z97*Данные!Z53</f>
        <v>0</v>
      </c>
    </row>
    <row r="79" spans="1:25" s="89" customFormat="1" ht="12.75" hidden="1" customHeight="1">
      <c r="A79" s="92" t="str">
        <f>"    " &amp; Данные!A26</f>
        <v xml:space="preserve">    Продукт 14</v>
      </c>
      <c r="B79" s="261">
        <f>Данные!C98*Данные!C54</f>
        <v>0</v>
      </c>
      <c r="C79" s="261">
        <f>Данные!D98*Данные!D54</f>
        <v>0</v>
      </c>
      <c r="D79" s="261">
        <f>Данные!E98*Данные!E54</f>
        <v>0</v>
      </c>
      <c r="E79" s="261">
        <f>Данные!F98*Данные!F54</f>
        <v>0</v>
      </c>
      <c r="F79" s="261">
        <f>Данные!G98*Данные!G54</f>
        <v>0</v>
      </c>
      <c r="G79" s="261">
        <f>Данные!H98*Данные!H54</f>
        <v>0</v>
      </c>
      <c r="H79" s="261">
        <f>Данные!I98*Данные!I54</f>
        <v>0</v>
      </c>
      <c r="I79" s="261">
        <f>Данные!J98*Данные!J54</f>
        <v>0</v>
      </c>
      <c r="J79" s="261">
        <f>Данные!K98*Данные!K54</f>
        <v>0</v>
      </c>
      <c r="K79" s="261">
        <f>Данные!L98*Данные!L54</f>
        <v>0</v>
      </c>
      <c r="L79" s="261">
        <f>Данные!M98*Данные!M54</f>
        <v>0</v>
      </c>
      <c r="M79" s="261">
        <f>Данные!N98*Данные!N54</f>
        <v>0</v>
      </c>
      <c r="N79" s="261">
        <f>Данные!O98*Данные!O54</f>
        <v>0</v>
      </c>
      <c r="O79" s="261">
        <f>Данные!P98*Данные!P54</f>
        <v>0</v>
      </c>
      <c r="P79" s="261">
        <f>Данные!Q98*Данные!Q54</f>
        <v>0</v>
      </c>
      <c r="Q79" s="261">
        <f>Данные!R98*Данные!R54</f>
        <v>0</v>
      </c>
      <c r="R79" s="261">
        <f>Данные!S98*Данные!S54</f>
        <v>0</v>
      </c>
      <c r="S79" s="261">
        <f>Данные!T98*Данные!T54</f>
        <v>0</v>
      </c>
      <c r="T79" s="261">
        <f>Данные!U98*Данные!U54</f>
        <v>0</v>
      </c>
      <c r="U79" s="261">
        <f>Данные!V98*Данные!V54</f>
        <v>0</v>
      </c>
      <c r="V79" s="261">
        <f>Данные!W98*Данные!W54</f>
        <v>0</v>
      </c>
      <c r="W79" s="261">
        <f>Данные!X98*Данные!X54</f>
        <v>0</v>
      </c>
      <c r="X79" s="261">
        <f>Данные!Y98*Данные!Y54</f>
        <v>0</v>
      </c>
      <c r="Y79" s="261">
        <f>Данные!Z98*Данные!Z54</f>
        <v>0</v>
      </c>
    </row>
    <row r="80" spans="1:25" s="89" customFormat="1" ht="12.75" hidden="1" customHeight="1">
      <c r="A80" s="92" t="str">
        <f>"    " &amp; Данные!A27</f>
        <v xml:space="preserve">    Продукт 15</v>
      </c>
      <c r="B80" s="261">
        <f>Данные!C99*Данные!C55</f>
        <v>0</v>
      </c>
      <c r="C80" s="261">
        <f>Данные!D99*Данные!D55</f>
        <v>0</v>
      </c>
      <c r="D80" s="261">
        <f>Данные!E99*Данные!E55</f>
        <v>0</v>
      </c>
      <c r="E80" s="261">
        <f>Данные!F99*Данные!F55</f>
        <v>0</v>
      </c>
      <c r="F80" s="261">
        <f>Данные!G99*Данные!G55</f>
        <v>0</v>
      </c>
      <c r="G80" s="261">
        <f>Данные!H99*Данные!H55</f>
        <v>0</v>
      </c>
      <c r="H80" s="261">
        <f>Данные!I99*Данные!I55</f>
        <v>0</v>
      </c>
      <c r="I80" s="261">
        <f>Данные!J99*Данные!J55</f>
        <v>0</v>
      </c>
      <c r="J80" s="261">
        <f>Данные!K99*Данные!K55</f>
        <v>0</v>
      </c>
      <c r="K80" s="261">
        <f>Данные!L99*Данные!L55</f>
        <v>0</v>
      </c>
      <c r="L80" s="261">
        <f>Данные!M99*Данные!M55</f>
        <v>0</v>
      </c>
      <c r="M80" s="261">
        <f>Данные!N99*Данные!N55</f>
        <v>0</v>
      </c>
      <c r="N80" s="261">
        <f>Данные!O99*Данные!O55</f>
        <v>0</v>
      </c>
      <c r="O80" s="261">
        <f>Данные!P99*Данные!P55</f>
        <v>0</v>
      </c>
      <c r="P80" s="261">
        <f>Данные!Q99*Данные!Q55</f>
        <v>0</v>
      </c>
      <c r="Q80" s="261">
        <f>Данные!R99*Данные!R55</f>
        <v>0</v>
      </c>
      <c r="R80" s="261">
        <f>Данные!S99*Данные!S55</f>
        <v>0</v>
      </c>
      <c r="S80" s="261">
        <f>Данные!T99*Данные!T55</f>
        <v>0</v>
      </c>
      <c r="T80" s="261">
        <f>Данные!U99*Данные!U55</f>
        <v>0</v>
      </c>
      <c r="U80" s="261">
        <f>Данные!V99*Данные!V55</f>
        <v>0</v>
      </c>
      <c r="V80" s="261">
        <f>Данные!W99*Данные!W55</f>
        <v>0</v>
      </c>
      <c r="W80" s="261">
        <f>Данные!X99*Данные!X55</f>
        <v>0</v>
      </c>
      <c r="X80" s="261">
        <f>Данные!Y99*Данные!Y55</f>
        <v>0</v>
      </c>
      <c r="Y80" s="261">
        <f>Данные!Z99*Данные!Z55</f>
        <v>0</v>
      </c>
    </row>
    <row r="81" spans="1:25" s="89" customFormat="1" ht="12.75" hidden="1" customHeight="1">
      <c r="A81" s="92" t="str">
        <f>"    " &amp; Данные!A28</f>
        <v xml:space="preserve">    Продукт 16</v>
      </c>
      <c r="B81" s="261">
        <f>Данные!C100*Данные!C56</f>
        <v>0</v>
      </c>
      <c r="C81" s="261">
        <f>Данные!D100*Данные!D56</f>
        <v>0</v>
      </c>
      <c r="D81" s="261">
        <f>Данные!E100*Данные!E56</f>
        <v>0</v>
      </c>
      <c r="E81" s="261">
        <f>Данные!F100*Данные!F56</f>
        <v>0</v>
      </c>
      <c r="F81" s="261">
        <f>Данные!G100*Данные!G56</f>
        <v>0</v>
      </c>
      <c r="G81" s="261">
        <f>Данные!H100*Данные!H56</f>
        <v>0</v>
      </c>
      <c r="H81" s="261">
        <f>Данные!I100*Данные!I56</f>
        <v>0</v>
      </c>
      <c r="I81" s="261">
        <f>Данные!J100*Данные!J56</f>
        <v>0</v>
      </c>
      <c r="J81" s="261">
        <f>Данные!K100*Данные!K56</f>
        <v>0</v>
      </c>
      <c r="K81" s="261">
        <f>Данные!L100*Данные!L56</f>
        <v>0</v>
      </c>
      <c r="L81" s="261">
        <f>Данные!M100*Данные!M56</f>
        <v>0</v>
      </c>
      <c r="M81" s="261">
        <f>Данные!N100*Данные!N56</f>
        <v>0</v>
      </c>
      <c r="N81" s="261">
        <f>Данные!O100*Данные!O56</f>
        <v>0</v>
      </c>
      <c r="O81" s="261">
        <f>Данные!P100*Данные!P56</f>
        <v>0</v>
      </c>
      <c r="P81" s="261">
        <f>Данные!Q100*Данные!Q56</f>
        <v>0</v>
      </c>
      <c r="Q81" s="261">
        <f>Данные!R100*Данные!R56</f>
        <v>0</v>
      </c>
      <c r="R81" s="261">
        <f>Данные!S100*Данные!S56</f>
        <v>0</v>
      </c>
      <c r="S81" s="261">
        <f>Данные!T100*Данные!T56</f>
        <v>0</v>
      </c>
      <c r="T81" s="261">
        <f>Данные!U100*Данные!U56</f>
        <v>0</v>
      </c>
      <c r="U81" s="261">
        <f>Данные!V100*Данные!V56</f>
        <v>0</v>
      </c>
      <c r="V81" s="261">
        <f>Данные!W100*Данные!W56</f>
        <v>0</v>
      </c>
      <c r="W81" s="261">
        <f>Данные!X100*Данные!X56</f>
        <v>0</v>
      </c>
      <c r="X81" s="261">
        <f>Данные!Y100*Данные!Y56</f>
        <v>0</v>
      </c>
      <c r="Y81" s="261">
        <f>Данные!Z100*Данные!Z56</f>
        <v>0</v>
      </c>
    </row>
    <row r="82" spans="1:25" s="89" customFormat="1" ht="12.75" hidden="1" customHeight="1">
      <c r="A82" s="92" t="str">
        <f>"    " &amp; Данные!A29</f>
        <v xml:space="preserve">    Продукт 17</v>
      </c>
      <c r="B82" s="261">
        <f>Данные!C101*Данные!C57</f>
        <v>0</v>
      </c>
      <c r="C82" s="261">
        <f>Данные!D101*Данные!D57</f>
        <v>0</v>
      </c>
      <c r="D82" s="261">
        <f>Данные!E101*Данные!E57</f>
        <v>0</v>
      </c>
      <c r="E82" s="261">
        <f>Данные!F101*Данные!F57</f>
        <v>0</v>
      </c>
      <c r="F82" s="261">
        <f>Данные!G101*Данные!G57</f>
        <v>0</v>
      </c>
      <c r="G82" s="261">
        <f>Данные!H101*Данные!H57</f>
        <v>0</v>
      </c>
      <c r="H82" s="261">
        <f>Данные!I101*Данные!I57</f>
        <v>0</v>
      </c>
      <c r="I82" s="261">
        <f>Данные!J101*Данные!J57</f>
        <v>0</v>
      </c>
      <c r="J82" s="261">
        <f>Данные!K101*Данные!K57</f>
        <v>0</v>
      </c>
      <c r="K82" s="261">
        <f>Данные!L101*Данные!L57</f>
        <v>0</v>
      </c>
      <c r="L82" s="261">
        <f>Данные!M101*Данные!M57</f>
        <v>0</v>
      </c>
      <c r="M82" s="261">
        <f>Данные!N101*Данные!N57</f>
        <v>0</v>
      </c>
      <c r="N82" s="261">
        <f>Данные!O101*Данные!O57</f>
        <v>0</v>
      </c>
      <c r="O82" s="261">
        <f>Данные!P101*Данные!P57</f>
        <v>0</v>
      </c>
      <c r="P82" s="261">
        <f>Данные!Q101*Данные!Q57</f>
        <v>0</v>
      </c>
      <c r="Q82" s="261">
        <f>Данные!R101*Данные!R57</f>
        <v>0</v>
      </c>
      <c r="R82" s="261">
        <f>Данные!S101*Данные!S57</f>
        <v>0</v>
      </c>
      <c r="S82" s="261">
        <f>Данные!T101*Данные!T57</f>
        <v>0</v>
      </c>
      <c r="T82" s="261">
        <f>Данные!U101*Данные!U57</f>
        <v>0</v>
      </c>
      <c r="U82" s="261">
        <f>Данные!V101*Данные!V57</f>
        <v>0</v>
      </c>
      <c r="V82" s="261">
        <f>Данные!W101*Данные!W57</f>
        <v>0</v>
      </c>
      <c r="W82" s="261">
        <f>Данные!X101*Данные!X57</f>
        <v>0</v>
      </c>
      <c r="X82" s="261">
        <f>Данные!Y101*Данные!Y57</f>
        <v>0</v>
      </c>
      <c r="Y82" s="261">
        <f>Данные!Z101*Данные!Z57</f>
        <v>0</v>
      </c>
    </row>
    <row r="83" spans="1:25" s="89" customFormat="1" ht="12.75" hidden="1" customHeight="1">
      <c r="A83" s="92" t="str">
        <f>"    " &amp; Данные!A30</f>
        <v xml:space="preserve">    Продукт 18</v>
      </c>
      <c r="B83" s="261">
        <f>Данные!C102*Данные!C58</f>
        <v>0</v>
      </c>
      <c r="C83" s="261">
        <f>Данные!D102*Данные!D58</f>
        <v>0</v>
      </c>
      <c r="D83" s="261">
        <f>Данные!E102*Данные!E58</f>
        <v>0</v>
      </c>
      <c r="E83" s="261">
        <f>Данные!F102*Данные!F58</f>
        <v>0</v>
      </c>
      <c r="F83" s="261">
        <f>Данные!G102*Данные!G58</f>
        <v>0</v>
      </c>
      <c r="G83" s="261">
        <f>Данные!H102*Данные!H58</f>
        <v>0</v>
      </c>
      <c r="H83" s="261">
        <f>Данные!I102*Данные!I58</f>
        <v>0</v>
      </c>
      <c r="I83" s="261">
        <f>Данные!J102*Данные!J58</f>
        <v>0</v>
      </c>
      <c r="J83" s="261">
        <f>Данные!K102*Данные!K58</f>
        <v>0</v>
      </c>
      <c r="K83" s="261">
        <f>Данные!L102*Данные!L58</f>
        <v>0</v>
      </c>
      <c r="L83" s="261">
        <f>Данные!M102*Данные!M58</f>
        <v>0</v>
      </c>
      <c r="M83" s="261">
        <f>Данные!N102*Данные!N58</f>
        <v>0</v>
      </c>
      <c r="N83" s="261">
        <f>Данные!O102*Данные!O58</f>
        <v>0</v>
      </c>
      <c r="O83" s="261">
        <f>Данные!P102*Данные!P58</f>
        <v>0</v>
      </c>
      <c r="P83" s="261">
        <f>Данные!Q102*Данные!Q58</f>
        <v>0</v>
      </c>
      <c r="Q83" s="261">
        <f>Данные!R102*Данные!R58</f>
        <v>0</v>
      </c>
      <c r="R83" s="261">
        <f>Данные!S102*Данные!S58</f>
        <v>0</v>
      </c>
      <c r="S83" s="261">
        <f>Данные!T102*Данные!T58</f>
        <v>0</v>
      </c>
      <c r="T83" s="261">
        <f>Данные!U102*Данные!U58</f>
        <v>0</v>
      </c>
      <c r="U83" s="261">
        <f>Данные!V102*Данные!V58</f>
        <v>0</v>
      </c>
      <c r="V83" s="261">
        <f>Данные!W102*Данные!W58</f>
        <v>0</v>
      </c>
      <c r="W83" s="261">
        <f>Данные!X102*Данные!X58</f>
        <v>0</v>
      </c>
      <c r="X83" s="261">
        <f>Данные!Y102*Данные!Y58</f>
        <v>0</v>
      </c>
      <c r="Y83" s="261">
        <f>Данные!Z102*Данные!Z58</f>
        <v>0</v>
      </c>
    </row>
    <row r="84" spans="1:25" s="89" customFormat="1" ht="12.75" hidden="1" customHeight="1">
      <c r="A84" s="92" t="str">
        <f>"    " &amp; Данные!A31</f>
        <v xml:space="preserve">    Продукт 19</v>
      </c>
      <c r="B84" s="261">
        <f>Данные!C103*Данные!C59</f>
        <v>0</v>
      </c>
      <c r="C84" s="261">
        <f>Данные!D103*Данные!D59</f>
        <v>0</v>
      </c>
      <c r="D84" s="261">
        <f>Данные!E103*Данные!E59</f>
        <v>0</v>
      </c>
      <c r="E84" s="261">
        <f>Данные!F103*Данные!F59</f>
        <v>0</v>
      </c>
      <c r="F84" s="261">
        <f>Данные!G103*Данные!G59</f>
        <v>0</v>
      </c>
      <c r="G84" s="261">
        <f>Данные!H103*Данные!H59</f>
        <v>0</v>
      </c>
      <c r="H84" s="261">
        <f>Данные!I103*Данные!I59</f>
        <v>0</v>
      </c>
      <c r="I84" s="261">
        <f>Данные!J103*Данные!J59</f>
        <v>0</v>
      </c>
      <c r="J84" s="261">
        <f>Данные!K103*Данные!K59</f>
        <v>0</v>
      </c>
      <c r="K84" s="261">
        <f>Данные!L103*Данные!L59</f>
        <v>0</v>
      </c>
      <c r="L84" s="261">
        <f>Данные!M103*Данные!M59</f>
        <v>0</v>
      </c>
      <c r="M84" s="261">
        <f>Данные!N103*Данные!N59</f>
        <v>0</v>
      </c>
      <c r="N84" s="261">
        <f>Данные!O103*Данные!O59</f>
        <v>0</v>
      </c>
      <c r="O84" s="261">
        <f>Данные!P103*Данные!P59</f>
        <v>0</v>
      </c>
      <c r="P84" s="261">
        <f>Данные!Q103*Данные!Q59</f>
        <v>0</v>
      </c>
      <c r="Q84" s="261">
        <f>Данные!R103*Данные!R59</f>
        <v>0</v>
      </c>
      <c r="R84" s="261">
        <f>Данные!S103*Данные!S59</f>
        <v>0</v>
      </c>
      <c r="S84" s="261">
        <f>Данные!T103*Данные!T59</f>
        <v>0</v>
      </c>
      <c r="T84" s="261">
        <f>Данные!U103*Данные!U59</f>
        <v>0</v>
      </c>
      <c r="U84" s="261">
        <f>Данные!V103*Данные!V59</f>
        <v>0</v>
      </c>
      <c r="V84" s="261">
        <f>Данные!W103*Данные!W59</f>
        <v>0</v>
      </c>
      <c r="W84" s="261">
        <f>Данные!X103*Данные!X59</f>
        <v>0</v>
      </c>
      <c r="X84" s="261">
        <f>Данные!Y103*Данные!Y59</f>
        <v>0</v>
      </c>
      <c r="Y84" s="261">
        <f>Данные!Z103*Данные!Z59</f>
        <v>0</v>
      </c>
    </row>
    <row r="85" spans="1:25" s="89" customFormat="1" ht="12.75" hidden="1" customHeight="1">
      <c r="A85" s="317" t="str">
        <f>"    " &amp; Данные!A32</f>
        <v xml:space="preserve">    Продукт 20</v>
      </c>
      <c r="B85" s="318">
        <f>Данные!C104*Данные!C60</f>
        <v>0</v>
      </c>
      <c r="C85" s="318">
        <f>Данные!D104*Данные!D60</f>
        <v>0</v>
      </c>
      <c r="D85" s="318">
        <f>Данные!E104*Данные!E60</f>
        <v>0</v>
      </c>
      <c r="E85" s="318">
        <f>Данные!F104*Данные!F60</f>
        <v>0</v>
      </c>
      <c r="F85" s="318">
        <f>Данные!G104*Данные!G60</f>
        <v>0</v>
      </c>
      <c r="G85" s="318">
        <f>Данные!H104*Данные!H60</f>
        <v>0</v>
      </c>
      <c r="H85" s="318">
        <f>Данные!I104*Данные!I60</f>
        <v>0</v>
      </c>
      <c r="I85" s="318">
        <f>Данные!J104*Данные!J60</f>
        <v>0</v>
      </c>
      <c r="J85" s="318">
        <f>Данные!K104*Данные!K60</f>
        <v>0</v>
      </c>
      <c r="K85" s="318">
        <f>Данные!L104*Данные!L60</f>
        <v>0</v>
      </c>
      <c r="L85" s="318">
        <f>Данные!M104*Данные!M60</f>
        <v>0</v>
      </c>
      <c r="M85" s="318">
        <f>Данные!N104*Данные!N60</f>
        <v>0</v>
      </c>
      <c r="N85" s="318">
        <f>Данные!O104*Данные!O60</f>
        <v>0</v>
      </c>
      <c r="O85" s="318">
        <f>Данные!P104*Данные!P60</f>
        <v>0</v>
      </c>
      <c r="P85" s="318">
        <f>Данные!Q104*Данные!Q60</f>
        <v>0</v>
      </c>
      <c r="Q85" s="318">
        <f>Данные!R104*Данные!R60</f>
        <v>0</v>
      </c>
      <c r="R85" s="318">
        <f>Данные!S104*Данные!S60</f>
        <v>0</v>
      </c>
      <c r="S85" s="318">
        <f>Данные!T104*Данные!T60</f>
        <v>0</v>
      </c>
      <c r="T85" s="318">
        <f>Данные!U104*Данные!U60</f>
        <v>0</v>
      </c>
      <c r="U85" s="318">
        <f>Данные!V104*Данные!V60</f>
        <v>0</v>
      </c>
      <c r="V85" s="318">
        <f>Данные!W104*Данные!W60</f>
        <v>0</v>
      </c>
      <c r="W85" s="318">
        <f>Данные!X104*Данные!X60</f>
        <v>0</v>
      </c>
      <c r="X85" s="318">
        <f>Данные!Y104*Данные!Y60</f>
        <v>0</v>
      </c>
      <c r="Y85" s="318">
        <f>Данные!Z104*Данные!Z60</f>
        <v>0</v>
      </c>
    </row>
    <row r="86" spans="1:25" s="33" customFormat="1">
      <c r="A86" s="33" t="s">
        <v>218</v>
      </c>
      <c r="B86" s="320">
        <f>SUM(B87:B106)</f>
        <v>0</v>
      </c>
      <c r="C86" s="320">
        <f t="shared" ref="C86:M86" si="4">SUM(C87:C106)</f>
        <v>0</v>
      </c>
      <c r="D86" s="320">
        <f t="shared" si="4"/>
        <v>0</v>
      </c>
      <c r="E86" s="320">
        <f t="shared" si="4"/>
        <v>0</v>
      </c>
      <c r="F86" s="320">
        <f t="shared" si="4"/>
        <v>0</v>
      </c>
      <c r="G86" s="320">
        <f t="shared" si="4"/>
        <v>0</v>
      </c>
      <c r="H86" s="320">
        <f t="shared" si="4"/>
        <v>0</v>
      </c>
      <c r="I86" s="320">
        <f t="shared" si="4"/>
        <v>0</v>
      </c>
      <c r="J86" s="320">
        <f t="shared" si="4"/>
        <v>0</v>
      </c>
      <c r="K86" s="320">
        <f t="shared" si="4"/>
        <v>0</v>
      </c>
      <c r="L86" s="320">
        <f t="shared" si="4"/>
        <v>0</v>
      </c>
      <c r="M86" s="320">
        <f t="shared" si="4"/>
        <v>0</v>
      </c>
    </row>
    <row r="87" spans="1:25">
      <c r="A87" s="319" t="str">
        <f>"    " &amp; Данные!A13</f>
        <v xml:space="preserve">    товар1</v>
      </c>
      <c r="B87" s="311">
        <f>Данные!C107*Данные!C41</f>
        <v>0</v>
      </c>
      <c r="C87" s="311">
        <f>Данные!D107*Данные!D41</f>
        <v>0</v>
      </c>
      <c r="D87" s="311">
        <f>Данные!E107*Данные!E41</f>
        <v>0</v>
      </c>
      <c r="E87" s="311">
        <f>Данные!F107*Данные!F41</f>
        <v>0</v>
      </c>
      <c r="F87" s="311">
        <f>Данные!G107*Данные!G41</f>
        <v>0</v>
      </c>
      <c r="G87" s="311">
        <f>Данные!H107*Данные!H41</f>
        <v>0</v>
      </c>
      <c r="H87" s="311">
        <f>Данные!I107*Данные!I41</f>
        <v>0</v>
      </c>
      <c r="I87" s="311">
        <f>Данные!J107*Данные!J41</f>
        <v>0</v>
      </c>
      <c r="J87" s="311">
        <f>Данные!K107*Данные!K41</f>
        <v>0</v>
      </c>
      <c r="K87" s="311">
        <f>Данные!L107*Данные!L41</f>
        <v>0</v>
      </c>
      <c r="L87" s="311">
        <f>Данные!M107*Данные!M41</f>
        <v>0</v>
      </c>
      <c r="M87" s="311">
        <f>Данные!N107*Данные!N41</f>
        <v>0</v>
      </c>
      <c r="N87" s="311">
        <f>Данные!O107*Данные!O41</f>
        <v>0</v>
      </c>
      <c r="O87" s="311">
        <f>Данные!P107*Данные!P41</f>
        <v>0</v>
      </c>
      <c r="P87" s="311">
        <f>Данные!Q107*Данные!Q41</f>
        <v>0</v>
      </c>
      <c r="Q87" s="311">
        <f>Данные!R107*Данные!R41</f>
        <v>0</v>
      </c>
      <c r="R87" s="311">
        <f>Данные!S107*Данные!S41</f>
        <v>0</v>
      </c>
      <c r="S87" s="311">
        <f>Данные!T107*Данные!T41</f>
        <v>0</v>
      </c>
      <c r="T87" s="311">
        <f>Данные!U107*Данные!U41</f>
        <v>0</v>
      </c>
      <c r="U87" s="311">
        <f>Данные!V107*Данные!V41</f>
        <v>0</v>
      </c>
      <c r="V87" s="311">
        <f>Данные!W107*Данные!W41</f>
        <v>0</v>
      </c>
      <c r="W87" s="311">
        <f>Данные!X107*Данные!X41</f>
        <v>0</v>
      </c>
      <c r="X87" s="311">
        <f>Данные!Y107*Данные!Y41</f>
        <v>0</v>
      </c>
      <c r="Y87" s="311">
        <f>Данные!Z107*Данные!Z41</f>
        <v>0</v>
      </c>
    </row>
    <row r="88" spans="1:25" hidden="1">
      <c r="A88" s="251" t="str">
        <f>"    " &amp; Данные!A14</f>
        <v xml:space="preserve">    косметика</v>
      </c>
      <c r="B88" s="274">
        <f>Данные!C108*Данные!C42</f>
        <v>0</v>
      </c>
      <c r="C88" s="274">
        <f>Данные!D108*Данные!D42</f>
        <v>0</v>
      </c>
      <c r="D88" s="274">
        <f>Данные!E108*Данные!E42</f>
        <v>0</v>
      </c>
      <c r="E88" s="274">
        <f>Данные!F108*Данные!F42</f>
        <v>0</v>
      </c>
      <c r="F88" s="274">
        <f>Данные!G108*Данные!G42</f>
        <v>0</v>
      </c>
      <c r="G88" s="274">
        <f>Данные!H108*Данные!H42</f>
        <v>0</v>
      </c>
      <c r="H88" s="274">
        <f>Данные!I108*Данные!I42</f>
        <v>0</v>
      </c>
      <c r="I88" s="274">
        <f>Данные!J108*Данные!J42</f>
        <v>0</v>
      </c>
      <c r="J88" s="274">
        <f>Данные!K108*Данные!K42</f>
        <v>0</v>
      </c>
      <c r="K88" s="274">
        <f>Данные!L108*Данные!L42</f>
        <v>0</v>
      </c>
      <c r="L88" s="274">
        <f>Данные!M108*Данные!M42</f>
        <v>0</v>
      </c>
      <c r="M88" s="274">
        <f>Данные!N108*Данные!N42</f>
        <v>0</v>
      </c>
      <c r="N88" s="274">
        <f>Данные!O108*Данные!O42</f>
        <v>0</v>
      </c>
      <c r="O88" s="274">
        <f>Данные!P108*Данные!P42</f>
        <v>0</v>
      </c>
      <c r="P88" s="274">
        <f>Данные!Q108*Данные!Q42</f>
        <v>0</v>
      </c>
      <c r="Q88" s="274">
        <f>Данные!R108*Данные!R42</f>
        <v>0</v>
      </c>
      <c r="R88" s="274">
        <f>Данные!S108*Данные!S42</f>
        <v>0</v>
      </c>
      <c r="S88" s="274">
        <f>Данные!T108*Данные!T42</f>
        <v>0</v>
      </c>
      <c r="T88" s="274">
        <f>Данные!U108*Данные!U42</f>
        <v>0</v>
      </c>
      <c r="U88" s="274">
        <f>Данные!V108*Данные!V42</f>
        <v>0</v>
      </c>
      <c r="V88" s="274">
        <f>Данные!W108*Данные!W42</f>
        <v>0</v>
      </c>
      <c r="W88" s="274">
        <f>Данные!X108*Данные!X42</f>
        <v>0</v>
      </c>
      <c r="X88" s="274">
        <f>Данные!Y108*Данные!Y42</f>
        <v>0</v>
      </c>
      <c r="Y88" s="274">
        <f>Данные!Z108*Данные!Z42</f>
        <v>0</v>
      </c>
    </row>
    <row r="89" spans="1:25" hidden="1">
      <c r="A89" s="251" t="str">
        <f>"    " &amp; Данные!A15</f>
        <v xml:space="preserve">    товары для дома</v>
      </c>
      <c r="B89" s="274">
        <f>Данные!C109*Данные!C43</f>
        <v>0</v>
      </c>
      <c r="C89" s="274">
        <f>Данные!D109*Данные!D43</f>
        <v>0</v>
      </c>
      <c r="D89" s="274">
        <f>Данные!E109*Данные!E43</f>
        <v>0</v>
      </c>
      <c r="E89" s="274">
        <f>Данные!F109*Данные!F43</f>
        <v>0</v>
      </c>
      <c r="F89" s="274">
        <f>Данные!G109*Данные!G43</f>
        <v>0</v>
      </c>
      <c r="G89" s="274">
        <f>Данные!H109*Данные!H43</f>
        <v>0</v>
      </c>
      <c r="H89" s="274">
        <f>Данные!I109*Данные!I43</f>
        <v>0</v>
      </c>
      <c r="I89" s="274">
        <f>Данные!J109*Данные!J43</f>
        <v>0</v>
      </c>
      <c r="J89" s="274">
        <f>Данные!K109*Данные!K43</f>
        <v>0</v>
      </c>
      <c r="K89" s="274">
        <f>Данные!L109*Данные!L43</f>
        <v>0</v>
      </c>
      <c r="L89" s="274">
        <f>Данные!M109*Данные!M43</f>
        <v>0</v>
      </c>
      <c r="M89" s="274">
        <f>Данные!N109*Данные!N43</f>
        <v>0</v>
      </c>
      <c r="N89" s="274">
        <f>Данные!O109*Данные!O43</f>
        <v>0</v>
      </c>
      <c r="O89" s="274">
        <f>Данные!P109*Данные!P43</f>
        <v>0</v>
      </c>
      <c r="P89" s="274">
        <f>Данные!Q109*Данные!Q43</f>
        <v>0</v>
      </c>
      <c r="Q89" s="274">
        <f>Данные!R109*Данные!R43</f>
        <v>0</v>
      </c>
      <c r="R89" s="274">
        <f>Данные!S109*Данные!S43</f>
        <v>0</v>
      </c>
      <c r="S89" s="274">
        <f>Данные!T109*Данные!T43</f>
        <v>0</v>
      </c>
      <c r="T89" s="274">
        <f>Данные!U109*Данные!U43</f>
        <v>0</v>
      </c>
      <c r="U89" s="274">
        <f>Данные!V109*Данные!V43</f>
        <v>0</v>
      </c>
      <c r="V89" s="274">
        <f>Данные!W109*Данные!W43</f>
        <v>0</v>
      </c>
      <c r="W89" s="274">
        <f>Данные!X109*Данные!X43</f>
        <v>0</v>
      </c>
      <c r="X89" s="274">
        <f>Данные!Y109*Данные!Y43</f>
        <v>0</v>
      </c>
      <c r="Y89" s="274">
        <f>Данные!Z109*Данные!Z43</f>
        <v>0</v>
      </c>
    </row>
    <row r="90" spans="1:25" hidden="1">
      <c r="A90" s="251" t="str">
        <f>"    " &amp; Данные!A16</f>
        <v xml:space="preserve">    Продукт 4</v>
      </c>
      <c r="B90" s="274">
        <f>Данные!C110*Данные!C44</f>
        <v>0</v>
      </c>
      <c r="C90" s="274">
        <f>Данные!D110*Данные!D44</f>
        <v>0</v>
      </c>
      <c r="D90" s="274">
        <f>Данные!E110*Данные!E44</f>
        <v>0</v>
      </c>
      <c r="E90" s="274">
        <f>Данные!F110*Данные!F44</f>
        <v>0</v>
      </c>
      <c r="F90" s="274">
        <f>Данные!G110*Данные!G44</f>
        <v>0</v>
      </c>
      <c r="G90" s="274">
        <f>Данные!H110*Данные!H44</f>
        <v>0</v>
      </c>
      <c r="H90" s="274">
        <f>Данные!I110*Данные!I44</f>
        <v>0</v>
      </c>
      <c r="I90" s="274">
        <f>Данные!J110*Данные!J44</f>
        <v>0</v>
      </c>
      <c r="J90" s="274">
        <f>Данные!K110*Данные!K44</f>
        <v>0</v>
      </c>
      <c r="K90" s="274">
        <f>Данные!L110*Данные!L44</f>
        <v>0</v>
      </c>
      <c r="L90" s="274">
        <f>Данные!M110*Данные!M44</f>
        <v>0</v>
      </c>
      <c r="M90" s="274">
        <f>Данные!N110*Данные!N44</f>
        <v>0</v>
      </c>
      <c r="N90" s="274">
        <f>Данные!O110*Данные!O44</f>
        <v>0</v>
      </c>
      <c r="O90" s="274">
        <f>Данные!P110*Данные!P44</f>
        <v>0</v>
      </c>
      <c r="P90" s="274">
        <f>Данные!Q110*Данные!Q44</f>
        <v>0</v>
      </c>
      <c r="Q90" s="274">
        <f>Данные!R110*Данные!R44</f>
        <v>0</v>
      </c>
      <c r="R90" s="274">
        <f>Данные!S110*Данные!S44</f>
        <v>0</v>
      </c>
      <c r="S90" s="274">
        <f>Данные!T110*Данные!T44</f>
        <v>0</v>
      </c>
      <c r="T90" s="274">
        <f>Данные!U110*Данные!U44</f>
        <v>0</v>
      </c>
      <c r="U90" s="274">
        <f>Данные!V110*Данные!V44</f>
        <v>0</v>
      </c>
      <c r="V90" s="274">
        <f>Данные!W110*Данные!W44</f>
        <v>0</v>
      </c>
      <c r="W90" s="274">
        <f>Данные!X110*Данные!X44</f>
        <v>0</v>
      </c>
      <c r="X90" s="274">
        <f>Данные!Y110*Данные!Y44</f>
        <v>0</v>
      </c>
      <c r="Y90" s="274">
        <f>Данные!Z110*Данные!Z44</f>
        <v>0</v>
      </c>
    </row>
    <row r="91" spans="1:25" hidden="1">
      <c r="A91" s="251" t="str">
        <f>"    " &amp; Данные!A17</f>
        <v xml:space="preserve">    Продукт 5</v>
      </c>
      <c r="B91" s="274">
        <f>Данные!C111*Данные!C45</f>
        <v>0</v>
      </c>
      <c r="C91" s="274">
        <f>Данные!D111*Данные!D45</f>
        <v>0</v>
      </c>
      <c r="D91" s="274">
        <f>Данные!E111*Данные!E45</f>
        <v>0</v>
      </c>
      <c r="E91" s="274">
        <f>Данные!F111*Данные!F45</f>
        <v>0</v>
      </c>
      <c r="F91" s="274">
        <f>Данные!G111*Данные!G45</f>
        <v>0</v>
      </c>
      <c r="G91" s="274">
        <f>Данные!H111*Данные!H45</f>
        <v>0</v>
      </c>
      <c r="H91" s="274">
        <f>Данные!I111*Данные!I45</f>
        <v>0</v>
      </c>
      <c r="I91" s="274">
        <f>Данные!J111*Данные!J45</f>
        <v>0</v>
      </c>
      <c r="J91" s="274">
        <f>Данные!K111*Данные!K45</f>
        <v>0</v>
      </c>
      <c r="K91" s="274">
        <f>Данные!L111*Данные!L45</f>
        <v>0</v>
      </c>
      <c r="L91" s="274">
        <f>Данные!M111*Данные!M45</f>
        <v>0</v>
      </c>
      <c r="M91" s="274">
        <f>Данные!N111*Данные!N45</f>
        <v>0</v>
      </c>
      <c r="N91" s="274">
        <f>Данные!O111*Данные!O45</f>
        <v>0</v>
      </c>
      <c r="O91" s="274">
        <f>Данные!P111*Данные!P45</f>
        <v>0</v>
      </c>
      <c r="P91" s="274">
        <f>Данные!Q111*Данные!Q45</f>
        <v>0</v>
      </c>
      <c r="Q91" s="274">
        <f>Данные!R111*Данные!R45</f>
        <v>0</v>
      </c>
      <c r="R91" s="274">
        <f>Данные!S111*Данные!S45</f>
        <v>0</v>
      </c>
      <c r="S91" s="274">
        <f>Данные!T111*Данные!T45</f>
        <v>0</v>
      </c>
      <c r="T91" s="274">
        <f>Данные!U111*Данные!U45</f>
        <v>0</v>
      </c>
      <c r="U91" s="274">
        <f>Данные!V111*Данные!V45</f>
        <v>0</v>
      </c>
      <c r="V91" s="274">
        <f>Данные!W111*Данные!W45</f>
        <v>0</v>
      </c>
      <c r="W91" s="274">
        <f>Данные!X111*Данные!X45</f>
        <v>0</v>
      </c>
      <c r="X91" s="274">
        <f>Данные!Y111*Данные!Y45</f>
        <v>0</v>
      </c>
      <c r="Y91" s="274">
        <f>Данные!Z111*Данные!Z45</f>
        <v>0</v>
      </c>
    </row>
    <row r="92" spans="1:25" hidden="1">
      <c r="A92" s="251" t="str">
        <f>"    " &amp; Данные!A18</f>
        <v xml:space="preserve">    Продукт 6</v>
      </c>
      <c r="B92" s="274">
        <f>Данные!C112*Данные!C46</f>
        <v>0</v>
      </c>
      <c r="C92" s="274">
        <f>Данные!D112*Данные!D46</f>
        <v>0</v>
      </c>
      <c r="D92" s="274">
        <f>Данные!E112*Данные!E46</f>
        <v>0</v>
      </c>
      <c r="E92" s="274">
        <f>Данные!F112*Данные!F46</f>
        <v>0</v>
      </c>
      <c r="F92" s="274">
        <f>Данные!G112*Данные!G46</f>
        <v>0</v>
      </c>
      <c r="G92" s="274">
        <f>Данные!H112*Данные!H46</f>
        <v>0</v>
      </c>
      <c r="H92" s="274">
        <f>Данные!I112*Данные!I46</f>
        <v>0</v>
      </c>
      <c r="I92" s="274">
        <f>Данные!J112*Данные!J46</f>
        <v>0</v>
      </c>
      <c r="J92" s="274">
        <f>Данные!K112*Данные!K46</f>
        <v>0</v>
      </c>
      <c r="K92" s="274">
        <f>Данные!L112*Данные!L46</f>
        <v>0</v>
      </c>
      <c r="L92" s="274">
        <f>Данные!M112*Данные!M46</f>
        <v>0</v>
      </c>
      <c r="M92" s="274">
        <f>Данные!N112*Данные!N46</f>
        <v>0</v>
      </c>
      <c r="N92" s="274">
        <f>Данные!O112*Данные!O46</f>
        <v>0</v>
      </c>
      <c r="O92" s="274">
        <f>Данные!P112*Данные!P46</f>
        <v>0</v>
      </c>
      <c r="P92" s="274">
        <f>Данные!Q112*Данные!Q46</f>
        <v>0</v>
      </c>
      <c r="Q92" s="274">
        <f>Данные!R112*Данные!R46</f>
        <v>0</v>
      </c>
      <c r="R92" s="274">
        <f>Данные!S112*Данные!S46</f>
        <v>0</v>
      </c>
      <c r="S92" s="274">
        <f>Данные!T112*Данные!T46</f>
        <v>0</v>
      </c>
      <c r="T92" s="274">
        <f>Данные!U112*Данные!U46</f>
        <v>0</v>
      </c>
      <c r="U92" s="274">
        <f>Данные!V112*Данные!V46</f>
        <v>0</v>
      </c>
      <c r="V92" s="274">
        <f>Данные!W112*Данные!W46</f>
        <v>0</v>
      </c>
      <c r="W92" s="274">
        <f>Данные!X112*Данные!X46</f>
        <v>0</v>
      </c>
      <c r="X92" s="274">
        <f>Данные!Y112*Данные!Y46</f>
        <v>0</v>
      </c>
      <c r="Y92" s="274">
        <f>Данные!Z112*Данные!Z46</f>
        <v>0</v>
      </c>
    </row>
    <row r="93" spans="1:25" hidden="1">
      <c r="A93" s="251" t="str">
        <f>"    " &amp; Данные!A19</f>
        <v xml:space="preserve">    Продукт 7</v>
      </c>
      <c r="B93" s="274">
        <f>Данные!C113*Данные!C47</f>
        <v>0</v>
      </c>
      <c r="C93" s="274">
        <f>Данные!D113*Данные!D47</f>
        <v>0</v>
      </c>
      <c r="D93" s="274">
        <f>Данные!E113*Данные!E47</f>
        <v>0</v>
      </c>
      <c r="E93" s="274">
        <f>Данные!F113*Данные!F47</f>
        <v>0</v>
      </c>
      <c r="F93" s="274">
        <f>Данные!G113*Данные!G47</f>
        <v>0</v>
      </c>
      <c r="G93" s="274">
        <f>Данные!H113*Данные!H47</f>
        <v>0</v>
      </c>
      <c r="H93" s="274">
        <f>Данные!I113*Данные!I47</f>
        <v>0</v>
      </c>
      <c r="I93" s="274">
        <f>Данные!J113*Данные!J47</f>
        <v>0</v>
      </c>
      <c r="J93" s="274">
        <f>Данные!K113*Данные!K47</f>
        <v>0</v>
      </c>
      <c r="K93" s="274">
        <f>Данные!L113*Данные!L47</f>
        <v>0</v>
      </c>
      <c r="L93" s="274">
        <f>Данные!M113*Данные!M47</f>
        <v>0</v>
      </c>
      <c r="M93" s="274">
        <f>Данные!N113*Данные!N47</f>
        <v>0</v>
      </c>
      <c r="N93" s="274">
        <f>Данные!O113*Данные!O47</f>
        <v>0</v>
      </c>
      <c r="O93" s="274">
        <f>Данные!P113*Данные!P47</f>
        <v>0</v>
      </c>
      <c r="P93" s="274">
        <f>Данные!Q113*Данные!Q47</f>
        <v>0</v>
      </c>
      <c r="Q93" s="274">
        <f>Данные!R113*Данные!R47</f>
        <v>0</v>
      </c>
      <c r="R93" s="274">
        <f>Данные!S113*Данные!S47</f>
        <v>0</v>
      </c>
      <c r="S93" s="274">
        <f>Данные!T113*Данные!T47</f>
        <v>0</v>
      </c>
      <c r="T93" s="274">
        <f>Данные!U113*Данные!U47</f>
        <v>0</v>
      </c>
      <c r="U93" s="274">
        <f>Данные!V113*Данные!V47</f>
        <v>0</v>
      </c>
      <c r="V93" s="274">
        <f>Данные!W113*Данные!W47</f>
        <v>0</v>
      </c>
      <c r="W93" s="274">
        <f>Данные!X113*Данные!X47</f>
        <v>0</v>
      </c>
      <c r="X93" s="274">
        <f>Данные!Y113*Данные!Y47</f>
        <v>0</v>
      </c>
      <c r="Y93" s="274">
        <f>Данные!Z113*Данные!Z47</f>
        <v>0</v>
      </c>
    </row>
    <row r="94" spans="1:25" hidden="1">
      <c r="A94" s="251" t="str">
        <f>"    " &amp; Данные!A20</f>
        <v xml:space="preserve">    Продукт 8</v>
      </c>
      <c r="B94" s="274">
        <f>Данные!C114*Данные!C48</f>
        <v>0</v>
      </c>
      <c r="C94" s="274">
        <f>Данные!D114*Данные!D48</f>
        <v>0</v>
      </c>
      <c r="D94" s="274">
        <f>Данные!E114*Данные!E48</f>
        <v>0</v>
      </c>
      <c r="E94" s="274">
        <f>Данные!F114*Данные!F48</f>
        <v>0</v>
      </c>
      <c r="F94" s="274">
        <f>Данные!G114*Данные!G48</f>
        <v>0</v>
      </c>
      <c r="G94" s="274">
        <f>Данные!H114*Данные!H48</f>
        <v>0</v>
      </c>
      <c r="H94" s="274">
        <f>Данные!I114*Данные!I48</f>
        <v>0</v>
      </c>
      <c r="I94" s="274">
        <f>Данные!J114*Данные!J48</f>
        <v>0</v>
      </c>
      <c r="J94" s="274">
        <f>Данные!K114*Данные!K48</f>
        <v>0</v>
      </c>
      <c r="K94" s="274">
        <f>Данные!L114*Данные!L48</f>
        <v>0</v>
      </c>
      <c r="L94" s="274">
        <f>Данные!M114*Данные!M48</f>
        <v>0</v>
      </c>
      <c r="M94" s="274">
        <f>Данные!N114*Данные!N48</f>
        <v>0</v>
      </c>
      <c r="N94" s="274">
        <f>Данные!O114*Данные!O48</f>
        <v>0</v>
      </c>
      <c r="O94" s="274">
        <f>Данные!P114*Данные!P48</f>
        <v>0</v>
      </c>
      <c r="P94" s="274">
        <f>Данные!Q114*Данные!Q48</f>
        <v>0</v>
      </c>
      <c r="Q94" s="274">
        <f>Данные!R114*Данные!R48</f>
        <v>0</v>
      </c>
      <c r="R94" s="274">
        <f>Данные!S114*Данные!S48</f>
        <v>0</v>
      </c>
      <c r="S94" s="274">
        <f>Данные!T114*Данные!T48</f>
        <v>0</v>
      </c>
      <c r="T94" s="274">
        <f>Данные!U114*Данные!U48</f>
        <v>0</v>
      </c>
      <c r="U94" s="274">
        <f>Данные!V114*Данные!V48</f>
        <v>0</v>
      </c>
      <c r="V94" s="274">
        <f>Данные!W114*Данные!W48</f>
        <v>0</v>
      </c>
      <c r="W94" s="274">
        <f>Данные!X114*Данные!X48</f>
        <v>0</v>
      </c>
      <c r="X94" s="274">
        <f>Данные!Y114*Данные!Y48</f>
        <v>0</v>
      </c>
      <c r="Y94" s="274">
        <f>Данные!Z114*Данные!Z48</f>
        <v>0</v>
      </c>
    </row>
    <row r="95" spans="1:25" hidden="1">
      <c r="A95" s="251" t="str">
        <f>"    " &amp; Данные!A21</f>
        <v xml:space="preserve">    Продукт 9</v>
      </c>
      <c r="B95" s="274">
        <f>Данные!C115*Данные!C49</f>
        <v>0</v>
      </c>
      <c r="C95" s="274">
        <f>Данные!D115*Данные!D49</f>
        <v>0</v>
      </c>
      <c r="D95" s="274">
        <f>Данные!E115*Данные!E49</f>
        <v>0</v>
      </c>
      <c r="E95" s="274">
        <f>Данные!F115*Данные!F49</f>
        <v>0</v>
      </c>
      <c r="F95" s="274">
        <f>Данные!G115*Данные!G49</f>
        <v>0</v>
      </c>
      <c r="G95" s="274">
        <f>Данные!H115*Данные!H49</f>
        <v>0</v>
      </c>
      <c r="H95" s="274">
        <f>Данные!I115*Данные!I49</f>
        <v>0</v>
      </c>
      <c r="I95" s="274">
        <f>Данные!J115*Данные!J49</f>
        <v>0</v>
      </c>
      <c r="J95" s="274">
        <f>Данные!K115*Данные!K49</f>
        <v>0</v>
      </c>
      <c r="K95" s="274">
        <f>Данные!L115*Данные!L49</f>
        <v>0</v>
      </c>
      <c r="L95" s="274">
        <f>Данные!M115*Данные!M49</f>
        <v>0</v>
      </c>
      <c r="M95" s="274">
        <f>Данные!N115*Данные!N49</f>
        <v>0</v>
      </c>
      <c r="N95" s="274">
        <f>Данные!O115*Данные!O49</f>
        <v>0</v>
      </c>
      <c r="O95" s="274">
        <f>Данные!P115*Данные!P49</f>
        <v>0</v>
      </c>
      <c r="P95" s="274">
        <f>Данные!Q115*Данные!Q49</f>
        <v>0</v>
      </c>
      <c r="Q95" s="274">
        <f>Данные!R115*Данные!R49</f>
        <v>0</v>
      </c>
      <c r="R95" s="274">
        <f>Данные!S115*Данные!S49</f>
        <v>0</v>
      </c>
      <c r="S95" s="274">
        <f>Данные!T115*Данные!T49</f>
        <v>0</v>
      </c>
      <c r="T95" s="274">
        <f>Данные!U115*Данные!U49</f>
        <v>0</v>
      </c>
      <c r="U95" s="274">
        <f>Данные!V115*Данные!V49</f>
        <v>0</v>
      </c>
      <c r="V95" s="274">
        <f>Данные!W115*Данные!W49</f>
        <v>0</v>
      </c>
      <c r="W95" s="274">
        <f>Данные!X115*Данные!X49</f>
        <v>0</v>
      </c>
      <c r="X95" s="274">
        <f>Данные!Y115*Данные!Y49</f>
        <v>0</v>
      </c>
      <c r="Y95" s="274">
        <f>Данные!Z115*Данные!Z49</f>
        <v>0</v>
      </c>
    </row>
    <row r="96" spans="1:25" hidden="1">
      <c r="A96" s="251" t="str">
        <f>"    " &amp; Данные!A22</f>
        <v xml:space="preserve">    Продукт 10</v>
      </c>
      <c r="B96" s="274">
        <f>Данные!C116*Данные!C50</f>
        <v>0</v>
      </c>
      <c r="C96" s="274">
        <f>Данные!D116*Данные!D50</f>
        <v>0</v>
      </c>
      <c r="D96" s="274">
        <f>Данные!E116*Данные!E50</f>
        <v>0</v>
      </c>
      <c r="E96" s="274">
        <f>Данные!F116*Данные!F50</f>
        <v>0</v>
      </c>
      <c r="F96" s="274">
        <f>Данные!G116*Данные!G50</f>
        <v>0</v>
      </c>
      <c r="G96" s="274">
        <f>Данные!H116*Данные!H50</f>
        <v>0</v>
      </c>
      <c r="H96" s="274">
        <f>Данные!I116*Данные!I50</f>
        <v>0</v>
      </c>
      <c r="I96" s="274">
        <f>Данные!J116*Данные!J50</f>
        <v>0</v>
      </c>
      <c r="J96" s="274">
        <f>Данные!K116*Данные!K50</f>
        <v>0</v>
      </c>
      <c r="K96" s="274">
        <f>Данные!L116*Данные!L50</f>
        <v>0</v>
      </c>
      <c r="L96" s="274">
        <f>Данные!M116*Данные!M50</f>
        <v>0</v>
      </c>
      <c r="M96" s="274">
        <f>Данные!N116*Данные!N50</f>
        <v>0</v>
      </c>
      <c r="N96" s="274">
        <f>Данные!O116*Данные!O50</f>
        <v>0</v>
      </c>
      <c r="O96" s="274">
        <f>Данные!P116*Данные!P50</f>
        <v>0</v>
      </c>
      <c r="P96" s="274">
        <f>Данные!Q116*Данные!Q50</f>
        <v>0</v>
      </c>
      <c r="Q96" s="274">
        <f>Данные!R116*Данные!R50</f>
        <v>0</v>
      </c>
      <c r="R96" s="274">
        <f>Данные!S116*Данные!S50</f>
        <v>0</v>
      </c>
      <c r="S96" s="274">
        <f>Данные!T116*Данные!T50</f>
        <v>0</v>
      </c>
      <c r="T96" s="274">
        <f>Данные!U116*Данные!U50</f>
        <v>0</v>
      </c>
      <c r="U96" s="274">
        <f>Данные!V116*Данные!V50</f>
        <v>0</v>
      </c>
      <c r="V96" s="274">
        <f>Данные!W116*Данные!W50</f>
        <v>0</v>
      </c>
      <c r="W96" s="274">
        <f>Данные!X116*Данные!X50</f>
        <v>0</v>
      </c>
      <c r="X96" s="274">
        <f>Данные!Y116*Данные!Y50</f>
        <v>0</v>
      </c>
      <c r="Y96" s="274">
        <f>Данные!Z116*Данные!Z50</f>
        <v>0</v>
      </c>
    </row>
    <row r="97" spans="1:25" hidden="1">
      <c r="A97" s="251" t="str">
        <f>"    " &amp; Данные!A23</f>
        <v xml:space="preserve">    Продукт 11</v>
      </c>
      <c r="B97" s="274">
        <f>Данные!C117*Данные!C51</f>
        <v>0</v>
      </c>
      <c r="C97" s="274">
        <f>Данные!D117*Данные!D51</f>
        <v>0</v>
      </c>
      <c r="D97" s="274">
        <f>Данные!E117*Данные!E51</f>
        <v>0</v>
      </c>
      <c r="E97" s="274">
        <f>Данные!F117*Данные!F51</f>
        <v>0</v>
      </c>
      <c r="F97" s="274">
        <f>Данные!G117*Данные!G51</f>
        <v>0</v>
      </c>
      <c r="G97" s="274">
        <f>Данные!H117*Данные!H51</f>
        <v>0</v>
      </c>
      <c r="H97" s="274">
        <f>Данные!I117*Данные!I51</f>
        <v>0</v>
      </c>
      <c r="I97" s="274">
        <f>Данные!J117*Данные!J51</f>
        <v>0</v>
      </c>
      <c r="J97" s="274">
        <f>Данные!K117*Данные!K51</f>
        <v>0</v>
      </c>
      <c r="K97" s="274">
        <f>Данные!L117*Данные!L51</f>
        <v>0</v>
      </c>
      <c r="L97" s="274">
        <f>Данные!M117*Данные!M51</f>
        <v>0</v>
      </c>
      <c r="M97" s="274">
        <f>Данные!N117*Данные!N51</f>
        <v>0</v>
      </c>
      <c r="N97" s="274">
        <f>Данные!O117*Данные!O51</f>
        <v>0</v>
      </c>
      <c r="O97" s="274">
        <f>Данные!P117*Данные!P51</f>
        <v>0</v>
      </c>
      <c r="P97" s="274">
        <f>Данные!Q117*Данные!Q51</f>
        <v>0</v>
      </c>
      <c r="Q97" s="274">
        <f>Данные!R117*Данные!R51</f>
        <v>0</v>
      </c>
      <c r="R97" s="274">
        <f>Данные!S117*Данные!S51</f>
        <v>0</v>
      </c>
      <c r="S97" s="274">
        <f>Данные!T117*Данные!T51</f>
        <v>0</v>
      </c>
      <c r="T97" s="274">
        <f>Данные!U117*Данные!U51</f>
        <v>0</v>
      </c>
      <c r="U97" s="274">
        <f>Данные!V117*Данные!V51</f>
        <v>0</v>
      </c>
      <c r="V97" s="274">
        <f>Данные!W117*Данные!W51</f>
        <v>0</v>
      </c>
      <c r="W97" s="274">
        <f>Данные!X117*Данные!X51</f>
        <v>0</v>
      </c>
      <c r="X97" s="274">
        <f>Данные!Y117*Данные!Y51</f>
        <v>0</v>
      </c>
      <c r="Y97" s="274">
        <f>Данные!Z117*Данные!Z51</f>
        <v>0</v>
      </c>
    </row>
    <row r="98" spans="1:25" hidden="1">
      <c r="A98" s="251" t="str">
        <f>"    " &amp; Данные!A24</f>
        <v xml:space="preserve">    Продукт 12</v>
      </c>
      <c r="B98" s="274">
        <f>Данные!C118*Данные!C52</f>
        <v>0</v>
      </c>
      <c r="C98" s="274">
        <f>Данные!D118*Данные!D52</f>
        <v>0</v>
      </c>
      <c r="D98" s="274">
        <f>Данные!E118*Данные!E52</f>
        <v>0</v>
      </c>
      <c r="E98" s="274">
        <f>Данные!F118*Данные!F52</f>
        <v>0</v>
      </c>
      <c r="F98" s="274">
        <f>Данные!G118*Данные!G52</f>
        <v>0</v>
      </c>
      <c r="G98" s="274">
        <f>Данные!H118*Данные!H52</f>
        <v>0</v>
      </c>
      <c r="H98" s="274">
        <f>Данные!I118*Данные!I52</f>
        <v>0</v>
      </c>
      <c r="I98" s="274">
        <f>Данные!J118*Данные!J52</f>
        <v>0</v>
      </c>
      <c r="J98" s="274">
        <f>Данные!K118*Данные!K52</f>
        <v>0</v>
      </c>
      <c r="K98" s="274">
        <f>Данные!L118*Данные!L52</f>
        <v>0</v>
      </c>
      <c r="L98" s="274">
        <f>Данные!M118*Данные!M52</f>
        <v>0</v>
      </c>
      <c r="M98" s="274">
        <f>Данные!N118*Данные!N52</f>
        <v>0</v>
      </c>
      <c r="N98" s="274">
        <f>Данные!O118*Данные!O52</f>
        <v>0</v>
      </c>
      <c r="O98" s="274">
        <f>Данные!P118*Данные!P52</f>
        <v>0</v>
      </c>
      <c r="P98" s="274">
        <f>Данные!Q118*Данные!Q52</f>
        <v>0</v>
      </c>
      <c r="Q98" s="274">
        <f>Данные!R118*Данные!R52</f>
        <v>0</v>
      </c>
      <c r="R98" s="274">
        <f>Данные!S118*Данные!S52</f>
        <v>0</v>
      </c>
      <c r="S98" s="274">
        <f>Данные!T118*Данные!T52</f>
        <v>0</v>
      </c>
      <c r="T98" s="274">
        <f>Данные!U118*Данные!U52</f>
        <v>0</v>
      </c>
      <c r="U98" s="274">
        <f>Данные!V118*Данные!V52</f>
        <v>0</v>
      </c>
      <c r="V98" s="274">
        <f>Данные!W118*Данные!W52</f>
        <v>0</v>
      </c>
      <c r="W98" s="274">
        <f>Данные!X118*Данные!X52</f>
        <v>0</v>
      </c>
      <c r="X98" s="274">
        <f>Данные!Y118*Данные!Y52</f>
        <v>0</v>
      </c>
      <c r="Y98" s="274">
        <f>Данные!Z118*Данные!Z52</f>
        <v>0</v>
      </c>
    </row>
    <row r="99" spans="1:25" hidden="1">
      <c r="A99" s="251" t="str">
        <f>"    " &amp; Данные!A25</f>
        <v xml:space="preserve">    Продукт 13</v>
      </c>
      <c r="B99" s="274">
        <f>Данные!C119*Данные!C53</f>
        <v>0</v>
      </c>
      <c r="C99" s="274">
        <f>Данные!D119*Данные!D53</f>
        <v>0</v>
      </c>
      <c r="D99" s="274">
        <f>Данные!E119*Данные!E53</f>
        <v>0</v>
      </c>
      <c r="E99" s="274">
        <f>Данные!F119*Данные!F53</f>
        <v>0</v>
      </c>
      <c r="F99" s="274">
        <f>Данные!G119*Данные!G53</f>
        <v>0</v>
      </c>
      <c r="G99" s="274">
        <f>Данные!H119*Данные!H53</f>
        <v>0</v>
      </c>
      <c r="H99" s="274">
        <f>Данные!I119*Данные!I53</f>
        <v>0</v>
      </c>
      <c r="I99" s="274">
        <f>Данные!J119*Данные!J53</f>
        <v>0</v>
      </c>
      <c r="J99" s="274">
        <f>Данные!K119*Данные!K53</f>
        <v>0</v>
      </c>
      <c r="K99" s="274">
        <f>Данные!L119*Данные!L53</f>
        <v>0</v>
      </c>
      <c r="L99" s="274">
        <f>Данные!M119*Данные!M53</f>
        <v>0</v>
      </c>
      <c r="M99" s="274">
        <f>Данные!N119*Данные!N53</f>
        <v>0</v>
      </c>
      <c r="N99" s="274">
        <f>Данные!O119*Данные!O53</f>
        <v>0</v>
      </c>
      <c r="O99" s="274">
        <f>Данные!P119*Данные!P53</f>
        <v>0</v>
      </c>
      <c r="P99" s="274">
        <f>Данные!Q119*Данные!Q53</f>
        <v>0</v>
      </c>
      <c r="Q99" s="274">
        <f>Данные!R119*Данные!R53</f>
        <v>0</v>
      </c>
      <c r="R99" s="274">
        <f>Данные!S119*Данные!S53</f>
        <v>0</v>
      </c>
      <c r="S99" s="274">
        <f>Данные!T119*Данные!T53</f>
        <v>0</v>
      </c>
      <c r="T99" s="274">
        <f>Данные!U119*Данные!U53</f>
        <v>0</v>
      </c>
      <c r="U99" s="274">
        <f>Данные!V119*Данные!V53</f>
        <v>0</v>
      </c>
      <c r="V99" s="274">
        <f>Данные!W119*Данные!W53</f>
        <v>0</v>
      </c>
      <c r="W99" s="274">
        <f>Данные!X119*Данные!X53</f>
        <v>0</v>
      </c>
      <c r="X99" s="274">
        <f>Данные!Y119*Данные!Y53</f>
        <v>0</v>
      </c>
      <c r="Y99" s="274">
        <f>Данные!Z119*Данные!Z53</f>
        <v>0</v>
      </c>
    </row>
    <row r="100" spans="1:25" hidden="1">
      <c r="A100" s="251" t="str">
        <f>"    " &amp; Данные!A26</f>
        <v xml:space="preserve">    Продукт 14</v>
      </c>
      <c r="B100" s="274">
        <f>Данные!C120*Данные!C54</f>
        <v>0</v>
      </c>
      <c r="C100" s="274">
        <f>Данные!D120*Данные!D54</f>
        <v>0</v>
      </c>
      <c r="D100" s="274">
        <f>Данные!E120*Данные!E54</f>
        <v>0</v>
      </c>
      <c r="E100" s="274">
        <f>Данные!F120*Данные!F54</f>
        <v>0</v>
      </c>
      <c r="F100" s="274">
        <f>Данные!G120*Данные!G54</f>
        <v>0</v>
      </c>
      <c r="G100" s="274">
        <f>Данные!H120*Данные!H54</f>
        <v>0</v>
      </c>
      <c r="H100" s="274">
        <f>Данные!I120*Данные!I54</f>
        <v>0</v>
      </c>
      <c r="I100" s="274">
        <f>Данные!J120*Данные!J54</f>
        <v>0</v>
      </c>
      <c r="J100" s="274">
        <f>Данные!K120*Данные!K54</f>
        <v>0</v>
      </c>
      <c r="K100" s="274">
        <f>Данные!L120*Данные!L54</f>
        <v>0</v>
      </c>
      <c r="L100" s="274">
        <f>Данные!M120*Данные!M54</f>
        <v>0</v>
      </c>
      <c r="M100" s="274">
        <f>Данные!N120*Данные!N54</f>
        <v>0</v>
      </c>
      <c r="N100" s="274">
        <f>Данные!O120*Данные!O54</f>
        <v>0</v>
      </c>
      <c r="O100" s="274">
        <f>Данные!P120*Данные!P54</f>
        <v>0</v>
      </c>
      <c r="P100" s="274">
        <f>Данные!Q120*Данные!Q54</f>
        <v>0</v>
      </c>
      <c r="Q100" s="274">
        <f>Данные!R120*Данные!R54</f>
        <v>0</v>
      </c>
      <c r="R100" s="274">
        <f>Данные!S120*Данные!S54</f>
        <v>0</v>
      </c>
      <c r="S100" s="274">
        <f>Данные!T120*Данные!T54</f>
        <v>0</v>
      </c>
      <c r="T100" s="274">
        <f>Данные!U120*Данные!U54</f>
        <v>0</v>
      </c>
      <c r="U100" s="274">
        <f>Данные!V120*Данные!V54</f>
        <v>0</v>
      </c>
      <c r="V100" s="274">
        <f>Данные!W120*Данные!W54</f>
        <v>0</v>
      </c>
      <c r="W100" s="274">
        <f>Данные!X120*Данные!X54</f>
        <v>0</v>
      </c>
      <c r="X100" s="274">
        <f>Данные!Y120*Данные!Y54</f>
        <v>0</v>
      </c>
      <c r="Y100" s="274">
        <f>Данные!Z120*Данные!Z54</f>
        <v>0</v>
      </c>
    </row>
    <row r="101" spans="1:25" hidden="1">
      <c r="A101" s="251" t="str">
        <f>"    " &amp; Данные!A27</f>
        <v xml:space="preserve">    Продукт 15</v>
      </c>
      <c r="B101" s="274">
        <f>Данные!C121*Данные!C55</f>
        <v>0</v>
      </c>
      <c r="C101" s="274">
        <f>Данные!D121*Данные!D55</f>
        <v>0</v>
      </c>
      <c r="D101" s="274">
        <f>Данные!E121*Данные!E55</f>
        <v>0</v>
      </c>
      <c r="E101" s="274">
        <f>Данные!F121*Данные!F55</f>
        <v>0</v>
      </c>
      <c r="F101" s="274">
        <f>Данные!G121*Данные!G55</f>
        <v>0</v>
      </c>
      <c r="G101" s="274">
        <f>Данные!H121*Данные!H55</f>
        <v>0</v>
      </c>
      <c r="H101" s="274">
        <f>Данные!I121*Данные!I55</f>
        <v>0</v>
      </c>
      <c r="I101" s="274">
        <f>Данные!J121*Данные!J55</f>
        <v>0</v>
      </c>
      <c r="J101" s="274">
        <f>Данные!K121*Данные!K55</f>
        <v>0</v>
      </c>
      <c r="K101" s="274">
        <f>Данные!L121*Данные!L55</f>
        <v>0</v>
      </c>
      <c r="L101" s="274">
        <f>Данные!M121*Данные!M55</f>
        <v>0</v>
      </c>
      <c r="M101" s="274">
        <f>Данные!N121*Данные!N55</f>
        <v>0</v>
      </c>
      <c r="N101" s="274">
        <f>Данные!O121*Данные!O55</f>
        <v>0</v>
      </c>
      <c r="O101" s="274">
        <f>Данные!P121*Данные!P55</f>
        <v>0</v>
      </c>
      <c r="P101" s="274">
        <f>Данные!Q121*Данные!Q55</f>
        <v>0</v>
      </c>
      <c r="Q101" s="274">
        <f>Данные!R121*Данные!R55</f>
        <v>0</v>
      </c>
      <c r="R101" s="274">
        <f>Данные!S121*Данные!S55</f>
        <v>0</v>
      </c>
      <c r="S101" s="274">
        <f>Данные!T121*Данные!T55</f>
        <v>0</v>
      </c>
      <c r="T101" s="274">
        <f>Данные!U121*Данные!U55</f>
        <v>0</v>
      </c>
      <c r="U101" s="274">
        <f>Данные!V121*Данные!V55</f>
        <v>0</v>
      </c>
      <c r="V101" s="274">
        <f>Данные!W121*Данные!W55</f>
        <v>0</v>
      </c>
      <c r="W101" s="274">
        <f>Данные!X121*Данные!X55</f>
        <v>0</v>
      </c>
      <c r="X101" s="274">
        <f>Данные!Y121*Данные!Y55</f>
        <v>0</v>
      </c>
      <c r="Y101" s="274">
        <f>Данные!Z121*Данные!Z55</f>
        <v>0</v>
      </c>
    </row>
    <row r="102" spans="1:25" hidden="1">
      <c r="A102" s="251" t="str">
        <f>"    " &amp; Данные!A28</f>
        <v xml:space="preserve">    Продукт 16</v>
      </c>
      <c r="B102" s="274">
        <f>Данные!C122*Данные!C56</f>
        <v>0</v>
      </c>
      <c r="C102" s="274">
        <f>Данные!D122*Данные!D56</f>
        <v>0</v>
      </c>
      <c r="D102" s="274">
        <f>Данные!E122*Данные!E56</f>
        <v>0</v>
      </c>
      <c r="E102" s="274">
        <f>Данные!F122*Данные!F56</f>
        <v>0</v>
      </c>
      <c r="F102" s="274">
        <f>Данные!G122*Данные!G56</f>
        <v>0</v>
      </c>
      <c r="G102" s="274">
        <f>Данные!H122*Данные!H56</f>
        <v>0</v>
      </c>
      <c r="H102" s="274">
        <f>Данные!I122*Данные!I56</f>
        <v>0</v>
      </c>
      <c r="I102" s="274">
        <f>Данные!J122*Данные!J56</f>
        <v>0</v>
      </c>
      <c r="J102" s="274">
        <f>Данные!K122*Данные!K56</f>
        <v>0</v>
      </c>
      <c r="K102" s="274">
        <f>Данные!L122*Данные!L56</f>
        <v>0</v>
      </c>
      <c r="L102" s="274">
        <f>Данные!M122*Данные!M56</f>
        <v>0</v>
      </c>
      <c r="M102" s="274">
        <f>Данные!N122*Данные!N56</f>
        <v>0</v>
      </c>
      <c r="N102" s="274">
        <f>Данные!O122*Данные!O56</f>
        <v>0</v>
      </c>
      <c r="O102" s="274">
        <f>Данные!P122*Данные!P56</f>
        <v>0</v>
      </c>
      <c r="P102" s="274">
        <f>Данные!Q122*Данные!Q56</f>
        <v>0</v>
      </c>
      <c r="Q102" s="274">
        <f>Данные!R122*Данные!R56</f>
        <v>0</v>
      </c>
      <c r="R102" s="274">
        <f>Данные!S122*Данные!S56</f>
        <v>0</v>
      </c>
      <c r="S102" s="274">
        <f>Данные!T122*Данные!T56</f>
        <v>0</v>
      </c>
      <c r="T102" s="274">
        <f>Данные!U122*Данные!U56</f>
        <v>0</v>
      </c>
      <c r="U102" s="274">
        <f>Данные!V122*Данные!V56</f>
        <v>0</v>
      </c>
      <c r="V102" s="274">
        <f>Данные!W122*Данные!W56</f>
        <v>0</v>
      </c>
      <c r="W102" s="274">
        <f>Данные!X122*Данные!X56</f>
        <v>0</v>
      </c>
      <c r="X102" s="274">
        <f>Данные!Y122*Данные!Y56</f>
        <v>0</v>
      </c>
      <c r="Y102" s="274">
        <f>Данные!Z122*Данные!Z56</f>
        <v>0</v>
      </c>
    </row>
    <row r="103" spans="1:25" hidden="1">
      <c r="A103" s="251" t="str">
        <f>"    " &amp; Данные!A29</f>
        <v xml:space="preserve">    Продукт 17</v>
      </c>
      <c r="B103" s="274">
        <f>Данные!C123*Данные!C57</f>
        <v>0</v>
      </c>
      <c r="C103" s="274">
        <f>Данные!D123*Данные!D57</f>
        <v>0</v>
      </c>
      <c r="D103" s="274">
        <f>Данные!E123*Данные!E57</f>
        <v>0</v>
      </c>
      <c r="E103" s="274">
        <f>Данные!F123*Данные!F57</f>
        <v>0</v>
      </c>
      <c r="F103" s="274">
        <f>Данные!G123*Данные!G57</f>
        <v>0</v>
      </c>
      <c r="G103" s="274">
        <f>Данные!H123*Данные!H57</f>
        <v>0</v>
      </c>
      <c r="H103" s="274">
        <f>Данные!I123*Данные!I57</f>
        <v>0</v>
      </c>
      <c r="I103" s="274">
        <f>Данные!J123*Данные!J57</f>
        <v>0</v>
      </c>
      <c r="J103" s="274">
        <f>Данные!K123*Данные!K57</f>
        <v>0</v>
      </c>
      <c r="K103" s="274">
        <f>Данные!L123*Данные!L57</f>
        <v>0</v>
      </c>
      <c r="L103" s="274">
        <f>Данные!M123*Данные!M57</f>
        <v>0</v>
      </c>
      <c r="M103" s="274">
        <f>Данные!N123*Данные!N57</f>
        <v>0</v>
      </c>
      <c r="N103" s="274">
        <f>Данные!O123*Данные!O57</f>
        <v>0</v>
      </c>
      <c r="O103" s="274">
        <f>Данные!P123*Данные!P57</f>
        <v>0</v>
      </c>
      <c r="P103" s="274">
        <f>Данные!Q123*Данные!Q57</f>
        <v>0</v>
      </c>
      <c r="Q103" s="274">
        <f>Данные!R123*Данные!R57</f>
        <v>0</v>
      </c>
      <c r="R103" s="274">
        <f>Данные!S123*Данные!S57</f>
        <v>0</v>
      </c>
      <c r="S103" s="274">
        <f>Данные!T123*Данные!T57</f>
        <v>0</v>
      </c>
      <c r="T103" s="274">
        <f>Данные!U123*Данные!U57</f>
        <v>0</v>
      </c>
      <c r="U103" s="274">
        <f>Данные!V123*Данные!V57</f>
        <v>0</v>
      </c>
      <c r="V103" s="274">
        <f>Данные!W123*Данные!W57</f>
        <v>0</v>
      </c>
      <c r="W103" s="274">
        <f>Данные!X123*Данные!X57</f>
        <v>0</v>
      </c>
      <c r="X103" s="274">
        <f>Данные!Y123*Данные!Y57</f>
        <v>0</v>
      </c>
      <c r="Y103" s="274">
        <f>Данные!Z123*Данные!Z57</f>
        <v>0</v>
      </c>
    </row>
    <row r="104" spans="1:25" hidden="1">
      <c r="A104" s="251" t="str">
        <f>"    " &amp; Данные!A30</f>
        <v xml:space="preserve">    Продукт 18</v>
      </c>
      <c r="B104" s="274">
        <f>Данные!C124*Данные!C58</f>
        <v>0</v>
      </c>
      <c r="C104" s="274">
        <f>Данные!D124*Данные!D58</f>
        <v>0</v>
      </c>
      <c r="D104" s="274">
        <f>Данные!E124*Данные!E58</f>
        <v>0</v>
      </c>
      <c r="E104" s="274">
        <f>Данные!F124*Данные!F58</f>
        <v>0</v>
      </c>
      <c r="F104" s="274">
        <f>Данные!G124*Данные!G58</f>
        <v>0</v>
      </c>
      <c r="G104" s="274">
        <f>Данные!H124*Данные!H58</f>
        <v>0</v>
      </c>
      <c r="H104" s="274">
        <f>Данные!I124*Данные!I58</f>
        <v>0</v>
      </c>
      <c r="I104" s="274">
        <f>Данные!J124*Данные!J58</f>
        <v>0</v>
      </c>
      <c r="J104" s="274">
        <f>Данные!K124*Данные!K58</f>
        <v>0</v>
      </c>
      <c r="K104" s="274">
        <f>Данные!L124*Данные!L58</f>
        <v>0</v>
      </c>
      <c r="L104" s="274">
        <f>Данные!M124*Данные!M58</f>
        <v>0</v>
      </c>
      <c r="M104" s="274">
        <f>Данные!N124*Данные!N58</f>
        <v>0</v>
      </c>
      <c r="N104" s="274">
        <f>Данные!O124*Данные!O58</f>
        <v>0</v>
      </c>
      <c r="O104" s="274">
        <f>Данные!P124*Данные!P58</f>
        <v>0</v>
      </c>
      <c r="P104" s="274">
        <f>Данные!Q124*Данные!Q58</f>
        <v>0</v>
      </c>
      <c r="Q104" s="274">
        <f>Данные!R124*Данные!R58</f>
        <v>0</v>
      </c>
      <c r="R104" s="274">
        <f>Данные!S124*Данные!S58</f>
        <v>0</v>
      </c>
      <c r="S104" s="274">
        <f>Данные!T124*Данные!T58</f>
        <v>0</v>
      </c>
      <c r="T104" s="274">
        <f>Данные!U124*Данные!U58</f>
        <v>0</v>
      </c>
      <c r="U104" s="274">
        <f>Данные!V124*Данные!V58</f>
        <v>0</v>
      </c>
      <c r="V104" s="274">
        <f>Данные!W124*Данные!W58</f>
        <v>0</v>
      </c>
      <c r="W104" s="274">
        <f>Данные!X124*Данные!X58</f>
        <v>0</v>
      </c>
      <c r="X104" s="274">
        <f>Данные!Y124*Данные!Y58</f>
        <v>0</v>
      </c>
      <c r="Y104" s="274">
        <f>Данные!Z124*Данные!Z58</f>
        <v>0</v>
      </c>
    </row>
    <row r="105" spans="1:25" hidden="1">
      <c r="A105" s="251" t="str">
        <f>"    " &amp; Данные!A31</f>
        <v xml:space="preserve">    Продукт 19</v>
      </c>
      <c r="B105" s="274">
        <f>Данные!C125*Данные!C59</f>
        <v>0</v>
      </c>
      <c r="C105" s="274">
        <f>Данные!D125*Данные!D59</f>
        <v>0</v>
      </c>
      <c r="D105" s="274">
        <f>Данные!E125*Данные!E59</f>
        <v>0</v>
      </c>
      <c r="E105" s="274">
        <f>Данные!F125*Данные!F59</f>
        <v>0</v>
      </c>
      <c r="F105" s="274">
        <f>Данные!G125*Данные!G59</f>
        <v>0</v>
      </c>
      <c r="G105" s="274">
        <f>Данные!H125*Данные!H59</f>
        <v>0</v>
      </c>
      <c r="H105" s="274">
        <f>Данные!I125*Данные!I59</f>
        <v>0</v>
      </c>
      <c r="I105" s="274">
        <f>Данные!J125*Данные!J59</f>
        <v>0</v>
      </c>
      <c r="J105" s="274">
        <f>Данные!K125*Данные!K59</f>
        <v>0</v>
      </c>
      <c r="K105" s="274">
        <f>Данные!L125*Данные!L59</f>
        <v>0</v>
      </c>
      <c r="L105" s="274">
        <f>Данные!M125*Данные!M59</f>
        <v>0</v>
      </c>
      <c r="M105" s="274">
        <f>Данные!N125*Данные!N59</f>
        <v>0</v>
      </c>
      <c r="N105" s="274">
        <f>Данные!O125*Данные!O59</f>
        <v>0</v>
      </c>
      <c r="O105" s="274">
        <f>Данные!P125*Данные!P59</f>
        <v>0</v>
      </c>
      <c r="P105" s="274">
        <f>Данные!Q125*Данные!Q59</f>
        <v>0</v>
      </c>
      <c r="Q105" s="274">
        <f>Данные!R125*Данные!R59</f>
        <v>0</v>
      </c>
      <c r="R105" s="274">
        <f>Данные!S125*Данные!S59</f>
        <v>0</v>
      </c>
      <c r="S105" s="274">
        <f>Данные!T125*Данные!T59</f>
        <v>0</v>
      </c>
      <c r="T105" s="274">
        <f>Данные!U125*Данные!U59</f>
        <v>0</v>
      </c>
      <c r="U105" s="274">
        <f>Данные!V125*Данные!V59</f>
        <v>0</v>
      </c>
      <c r="V105" s="274">
        <f>Данные!W125*Данные!W59</f>
        <v>0</v>
      </c>
      <c r="W105" s="274">
        <f>Данные!X125*Данные!X59</f>
        <v>0</v>
      </c>
      <c r="X105" s="274">
        <f>Данные!Y125*Данные!Y59</f>
        <v>0</v>
      </c>
      <c r="Y105" s="274">
        <f>Данные!Z125*Данные!Z59</f>
        <v>0</v>
      </c>
    </row>
    <row r="106" spans="1:25" hidden="1">
      <c r="A106" s="251" t="str">
        <f>"    " &amp; Данные!A32</f>
        <v xml:space="preserve">    Продукт 20</v>
      </c>
      <c r="B106" s="274">
        <f>Данные!C126*Данные!C60</f>
        <v>0</v>
      </c>
      <c r="C106" s="274">
        <f>Данные!D126*Данные!D60</f>
        <v>0</v>
      </c>
      <c r="D106" s="274">
        <f>Данные!E126*Данные!E60</f>
        <v>0</v>
      </c>
      <c r="E106" s="274">
        <f>Данные!F126*Данные!F60</f>
        <v>0</v>
      </c>
      <c r="F106" s="274">
        <f>Данные!G126*Данные!G60</f>
        <v>0</v>
      </c>
      <c r="G106" s="274">
        <f>Данные!H126*Данные!H60</f>
        <v>0</v>
      </c>
      <c r="H106" s="274">
        <f>Данные!I126*Данные!I60</f>
        <v>0</v>
      </c>
      <c r="I106" s="274">
        <f>Данные!J126*Данные!J60</f>
        <v>0</v>
      </c>
      <c r="J106" s="274">
        <f>Данные!K126*Данные!K60</f>
        <v>0</v>
      </c>
      <c r="K106" s="274">
        <f>Данные!L126*Данные!L60</f>
        <v>0</v>
      </c>
      <c r="L106" s="274">
        <f>Данные!M126*Данные!M60</f>
        <v>0</v>
      </c>
      <c r="M106" s="274">
        <f>Данные!N126*Данные!N60</f>
        <v>0</v>
      </c>
      <c r="N106" s="274">
        <f>Данные!O126*Данные!O60</f>
        <v>0</v>
      </c>
      <c r="O106" s="274">
        <f>Данные!P126*Данные!P60</f>
        <v>0</v>
      </c>
      <c r="P106" s="274">
        <f>Данные!Q126*Данные!Q60</f>
        <v>0</v>
      </c>
      <c r="Q106" s="274">
        <f>Данные!R126*Данные!R60</f>
        <v>0</v>
      </c>
      <c r="R106" s="274">
        <f>Данные!S126*Данные!S60</f>
        <v>0</v>
      </c>
      <c r="S106" s="274">
        <f>Данные!T126*Данные!T60</f>
        <v>0</v>
      </c>
      <c r="T106" s="274">
        <f>Данные!U126*Данные!U60</f>
        <v>0</v>
      </c>
      <c r="U106" s="274">
        <f>Данные!V126*Данные!V60</f>
        <v>0</v>
      </c>
      <c r="V106" s="274">
        <f>Данные!W126*Данные!W60</f>
        <v>0</v>
      </c>
      <c r="W106" s="274">
        <f>Данные!X126*Данные!X60</f>
        <v>0</v>
      </c>
      <c r="X106" s="274">
        <f>Данные!Y126*Данные!Y60</f>
        <v>0</v>
      </c>
      <c r="Y106" s="274">
        <f>Данные!Z126*Данные!Z60</f>
        <v>0</v>
      </c>
    </row>
    <row r="107" spans="1:25" ht="12" thickBot="1"/>
    <row r="108" spans="1:25" s="330" customFormat="1" ht="26.1" customHeight="1" thickBot="1">
      <c r="A108" s="56" t="s">
        <v>263</v>
      </c>
      <c r="B108" s="329"/>
      <c r="C108" s="329"/>
      <c r="D108" s="329"/>
      <c r="E108" s="329"/>
      <c r="F108" s="329"/>
      <c r="G108" s="329"/>
      <c r="H108" s="329"/>
      <c r="I108" s="329"/>
      <c r="J108" s="329"/>
      <c r="K108" s="329"/>
      <c r="L108" s="329"/>
      <c r="M108" s="329"/>
    </row>
    <row r="109" spans="1:25" ht="12.75" customHeight="1">
      <c r="B109" s="281"/>
      <c r="C109" s="281"/>
      <c r="D109" s="281"/>
      <c r="E109" s="281"/>
      <c r="F109" s="281"/>
      <c r="G109" s="281"/>
      <c r="H109" s="281"/>
      <c r="I109" s="281"/>
      <c r="J109" s="281"/>
      <c r="K109" s="281"/>
      <c r="L109" s="281"/>
      <c r="M109" s="281"/>
    </row>
    <row r="110" spans="1:25" ht="12.75" customHeight="1">
      <c r="A110" s="29" t="s">
        <v>268</v>
      </c>
      <c r="B110" s="310">
        <v>0</v>
      </c>
      <c r="C110" s="281"/>
      <c r="D110" s="281"/>
      <c r="E110" s="281"/>
      <c r="F110" s="281"/>
      <c r="G110" s="281"/>
      <c r="H110" s="281"/>
      <c r="I110" s="281"/>
      <c r="J110" s="281"/>
      <c r="K110" s="281"/>
      <c r="L110" s="281"/>
      <c r="M110" s="281"/>
    </row>
    <row r="111" spans="1:25" ht="12.75" customHeight="1" thickBot="1">
      <c r="B111" s="281"/>
      <c r="C111" s="281"/>
      <c r="D111" s="281"/>
      <c r="E111" s="281"/>
      <c r="F111" s="281"/>
      <c r="G111" s="281"/>
      <c r="H111" s="281"/>
      <c r="I111" s="281"/>
      <c r="J111" s="281"/>
      <c r="K111" s="281"/>
      <c r="L111" s="281"/>
      <c r="M111" s="281"/>
    </row>
    <row r="112" spans="1:25" s="132" customFormat="1" ht="12.75" customHeight="1" thickBot="1">
      <c r="A112" s="308" t="s">
        <v>266</v>
      </c>
      <c r="B112" s="309" t="str">
        <f>Данные!C40</f>
        <v>1/2027</v>
      </c>
      <c r="C112" s="309" t="str">
        <f>Данные!D40</f>
        <v>2/2027</v>
      </c>
      <c r="D112" s="309" t="str">
        <f>Данные!E40</f>
        <v>3/2027</v>
      </c>
      <c r="E112" s="309" t="str">
        <f>Данные!F40</f>
        <v>4/2027</v>
      </c>
      <c r="F112" s="309" t="str">
        <f>Данные!G40</f>
        <v>5/2027</v>
      </c>
      <c r="G112" s="309" t="str">
        <f>Данные!H40</f>
        <v>6/2027</v>
      </c>
      <c r="H112" s="309" t="str">
        <f>Данные!I40</f>
        <v>7/2027</v>
      </c>
      <c r="I112" s="309" t="str">
        <f>Данные!J40</f>
        <v>8/2027</v>
      </c>
      <c r="J112" s="309" t="str">
        <f>Данные!K40</f>
        <v>9/2027</v>
      </c>
      <c r="K112" s="309" t="str">
        <f>Данные!L40</f>
        <v>10/2027</v>
      </c>
      <c r="L112" s="309" t="str">
        <f>Данные!M40</f>
        <v>11/2027</v>
      </c>
      <c r="M112" s="309" t="str">
        <f>Данные!N40</f>
        <v>12/2027</v>
      </c>
      <c r="N112" s="309" t="str">
        <f>Данные!O40</f>
        <v>1/2028</v>
      </c>
      <c r="O112" s="309" t="str">
        <f>Данные!P40</f>
        <v>2/2028</v>
      </c>
      <c r="P112" s="309" t="str">
        <f>Данные!Q40</f>
        <v>3/2028</v>
      </c>
      <c r="Q112" s="309" t="str">
        <f>Данные!R40</f>
        <v>4/2028</v>
      </c>
      <c r="R112" s="309" t="str">
        <f>Данные!S40</f>
        <v>5/2028</v>
      </c>
      <c r="S112" s="309" t="str">
        <f>Данные!T40</f>
        <v>6/2028</v>
      </c>
      <c r="T112" s="309" t="str">
        <f>Данные!U40</f>
        <v>7/2028</v>
      </c>
      <c r="U112" s="309" t="str">
        <f>Данные!V40</f>
        <v>8/2028</v>
      </c>
      <c r="V112" s="309" t="str">
        <f>Данные!W40</f>
        <v>9/2028</v>
      </c>
      <c r="W112" s="309" t="str">
        <f>Данные!X40</f>
        <v>10/2028</v>
      </c>
      <c r="X112" s="309" t="str">
        <f>Данные!Y40</f>
        <v>11/2028</v>
      </c>
      <c r="Y112" s="309" t="str">
        <f>Данные!Z40</f>
        <v>12/2028</v>
      </c>
    </row>
    <row r="113" spans="1:25" ht="12.75" customHeight="1">
      <c r="A113" s="307" t="s">
        <v>18</v>
      </c>
      <c r="B113" s="311">
        <f>Прибыль!C27</f>
        <v>0</v>
      </c>
      <c r="C113" s="311">
        <f>Прибыль!D27</f>
        <v>0</v>
      </c>
      <c r="D113" s="311">
        <f>Прибыль!E27</f>
        <v>0</v>
      </c>
      <c r="E113" s="311">
        <f>Прибыль!F27</f>
        <v>0</v>
      </c>
      <c r="F113" s="311">
        <f>Прибыль!G27</f>
        <v>0</v>
      </c>
      <c r="G113" s="311">
        <f>Прибыль!H27</f>
        <v>0</v>
      </c>
      <c r="H113" s="311">
        <f>Прибыль!I27</f>
        <v>0</v>
      </c>
      <c r="I113" s="311">
        <f>Прибыль!J27</f>
        <v>0</v>
      </c>
      <c r="J113" s="311">
        <f>Прибыль!K27</f>
        <v>0</v>
      </c>
      <c r="K113" s="311">
        <f>Прибыль!L27</f>
        <v>0</v>
      </c>
      <c r="L113" s="311">
        <f>Прибыль!M27</f>
        <v>0</v>
      </c>
      <c r="M113" s="311">
        <f>Прибыль!N27</f>
        <v>0</v>
      </c>
      <c r="N113" s="311">
        <f>Прибыль!O27</f>
        <v>0</v>
      </c>
      <c r="O113" s="311">
        <f>Прибыль!P27</f>
        <v>0</v>
      </c>
      <c r="P113" s="311">
        <f>Прибыль!Q27</f>
        <v>0</v>
      </c>
      <c r="Q113" s="311">
        <f>Прибыль!R27</f>
        <v>0</v>
      </c>
      <c r="R113" s="311">
        <f>Прибыль!S27</f>
        <v>0</v>
      </c>
      <c r="S113" s="311">
        <f>Прибыль!T27</f>
        <v>0</v>
      </c>
      <c r="T113" s="311">
        <f>Прибыль!U27</f>
        <v>0</v>
      </c>
      <c r="U113" s="311">
        <f>Прибыль!V27</f>
        <v>0</v>
      </c>
      <c r="V113" s="311">
        <f>Прибыль!W27</f>
        <v>0</v>
      </c>
      <c r="W113" s="311">
        <f>Прибыль!X27</f>
        <v>0</v>
      </c>
      <c r="X113" s="311">
        <f>Прибыль!Y27</f>
        <v>0</v>
      </c>
      <c r="Y113" s="311">
        <f>Прибыль!Z27</f>
        <v>0</v>
      </c>
    </row>
    <row r="114" spans="1:25" ht="12.75" customHeight="1">
      <c r="A114" s="95" t="s">
        <v>229</v>
      </c>
      <c r="B114" s="274">
        <f>Расчеты!B50</f>
        <v>0</v>
      </c>
      <c r="C114" s="274">
        <f>Расчеты!C50</f>
        <v>0</v>
      </c>
      <c r="D114" s="274">
        <f>Расчеты!D50</f>
        <v>0</v>
      </c>
      <c r="E114" s="274">
        <f>Расчеты!E50</f>
        <v>0</v>
      </c>
      <c r="F114" s="274">
        <f>Расчеты!F50</f>
        <v>0</v>
      </c>
      <c r="G114" s="274">
        <f>Расчеты!G50</f>
        <v>0</v>
      </c>
      <c r="H114" s="274">
        <f>Расчеты!H50</f>
        <v>0</v>
      </c>
      <c r="I114" s="274">
        <f>Расчеты!I50</f>
        <v>0</v>
      </c>
      <c r="J114" s="274">
        <f>Расчеты!J50</f>
        <v>0</v>
      </c>
      <c r="K114" s="274">
        <f>Расчеты!K50</f>
        <v>0</v>
      </c>
      <c r="L114" s="274">
        <f>Расчеты!L50</f>
        <v>0</v>
      </c>
      <c r="M114" s="274">
        <f>Расчеты!M50</f>
        <v>0</v>
      </c>
      <c r="N114" s="274">
        <f>Расчеты!N50</f>
        <v>0</v>
      </c>
      <c r="O114" s="274">
        <f>Расчеты!O50</f>
        <v>0</v>
      </c>
      <c r="P114" s="274">
        <f>Расчеты!P50</f>
        <v>0</v>
      </c>
      <c r="Q114" s="274">
        <f>Расчеты!Q50</f>
        <v>0</v>
      </c>
      <c r="R114" s="274">
        <f>Расчеты!R50</f>
        <v>0</v>
      </c>
      <c r="S114" s="274">
        <f>Расчеты!S50</f>
        <v>0</v>
      </c>
      <c r="T114" s="274">
        <f>Расчеты!T50</f>
        <v>0</v>
      </c>
      <c r="U114" s="274">
        <f>Расчеты!U50</f>
        <v>0</v>
      </c>
      <c r="V114" s="274">
        <f>Расчеты!V50</f>
        <v>0</v>
      </c>
      <c r="W114" s="274">
        <f>Расчеты!W50</f>
        <v>0</v>
      </c>
      <c r="X114" s="274">
        <f>Расчеты!X50</f>
        <v>0</v>
      </c>
      <c r="Y114" s="274">
        <f>Расчеты!Y50</f>
        <v>0</v>
      </c>
    </row>
    <row r="115" spans="1:25" ht="12.75" customHeight="1">
      <c r="A115" s="95" t="s">
        <v>19</v>
      </c>
      <c r="B115" s="274">
        <f>Прибыль!C8</f>
        <v>0</v>
      </c>
      <c r="C115" s="274">
        <f>Прибыль!D8</f>
        <v>0</v>
      </c>
      <c r="D115" s="274">
        <f>Прибыль!E8</f>
        <v>0</v>
      </c>
      <c r="E115" s="274">
        <f>Прибыль!F8</f>
        <v>0</v>
      </c>
      <c r="F115" s="274">
        <f>Прибыль!G8</f>
        <v>0</v>
      </c>
      <c r="G115" s="274">
        <f>Прибыль!H8</f>
        <v>0</v>
      </c>
      <c r="H115" s="274">
        <f>Прибыль!I8</f>
        <v>0</v>
      </c>
      <c r="I115" s="274">
        <f>Прибыль!J8</f>
        <v>0</v>
      </c>
      <c r="J115" s="274">
        <f>Прибыль!K8</f>
        <v>0</v>
      </c>
      <c r="K115" s="274">
        <f>Прибыль!L8</f>
        <v>0</v>
      </c>
      <c r="L115" s="274">
        <f>Прибыль!M8</f>
        <v>0</v>
      </c>
      <c r="M115" s="274">
        <f>Прибыль!N8</f>
        <v>0</v>
      </c>
      <c r="N115" s="274">
        <f>Прибыль!O8</f>
        <v>0</v>
      </c>
      <c r="O115" s="274">
        <f>Прибыль!P8</f>
        <v>0</v>
      </c>
      <c r="P115" s="274">
        <f>Прибыль!Q8</f>
        <v>0</v>
      </c>
      <c r="Q115" s="274">
        <f>Прибыль!R8</f>
        <v>0</v>
      </c>
      <c r="R115" s="274">
        <f>Прибыль!S8</f>
        <v>0</v>
      </c>
      <c r="S115" s="274">
        <f>Прибыль!T8</f>
        <v>0</v>
      </c>
      <c r="T115" s="274">
        <f>Прибыль!U8</f>
        <v>0</v>
      </c>
      <c r="U115" s="274">
        <f>Прибыль!V8</f>
        <v>0</v>
      </c>
      <c r="V115" s="274">
        <f>Прибыль!W8</f>
        <v>0</v>
      </c>
      <c r="W115" s="274">
        <f>Прибыль!X8</f>
        <v>0</v>
      </c>
      <c r="X115" s="274">
        <f>Прибыль!Y8</f>
        <v>0</v>
      </c>
      <c r="Y115" s="274">
        <f>Прибыль!Z8</f>
        <v>0</v>
      </c>
    </row>
    <row r="116" spans="1:25" ht="12.75" customHeight="1">
      <c r="A116" s="95" t="s">
        <v>206</v>
      </c>
      <c r="B116" s="274">
        <f>Прибыль!C6</f>
        <v>0</v>
      </c>
      <c r="C116" s="274">
        <f>Прибыль!D6</f>
        <v>0</v>
      </c>
      <c r="D116" s="274">
        <f>Прибыль!E6</f>
        <v>0</v>
      </c>
      <c r="E116" s="274">
        <f>Прибыль!F6</f>
        <v>0</v>
      </c>
      <c r="F116" s="274">
        <f>Прибыль!G6</f>
        <v>0</v>
      </c>
      <c r="G116" s="274">
        <f>Прибыль!H6</f>
        <v>0</v>
      </c>
      <c r="H116" s="274">
        <f>Прибыль!I6</f>
        <v>0</v>
      </c>
      <c r="I116" s="274">
        <f>Прибыль!J6</f>
        <v>0</v>
      </c>
      <c r="J116" s="274">
        <f>Прибыль!K6</f>
        <v>0</v>
      </c>
      <c r="K116" s="274">
        <f>Прибыль!L6</f>
        <v>0</v>
      </c>
      <c r="L116" s="274">
        <f>Прибыль!M6</f>
        <v>0</v>
      </c>
      <c r="M116" s="274">
        <f>Прибыль!N6</f>
        <v>0</v>
      </c>
      <c r="N116" s="274">
        <f>Прибыль!O6</f>
        <v>0</v>
      </c>
      <c r="O116" s="274">
        <f>Прибыль!P6</f>
        <v>0</v>
      </c>
      <c r="P116" s="274">
        <f>Прибыль!Q6</f>
        <v>0</v>
      </c>
      <c r="Q116" s="274">
        <f>Прибыль!R6</f>
        <v>0</v>
      </c>
      <c r="R116" s="274">
        <f>Прибыль!S6</f>
        <v>0</v>
      </c>
      <c r="S116" s="274">
        <f>Прибыль!T6</f>
        <v>0</v>
      </c>
      <c r="T116" s="274">
        <f>Прибыль!U6</f>
        <v>0</v>
      </c>
      <c r="U116" s="274">
        <f>Прибыль!V6</f>
        <v>0</v>
      </c>
      <c r="V116" s="274">
        <f>Прибыль!W6</f>
        <v>0</v>
      </c>
      <c r="W116" s="274">
        <f>Прибыль!X6</f>
        <v>0</v>
      </c>
      <c r="X116" s="274">
        <f>Прибыль!Y6</f>
        <v>0</v>
      </c>
      <c r="Y116" s="274">
        <f>Прибыль!Z6</f>
        <v>0</v>
      </c>
    </row>
    <row r="117" spans="1:25" ht="12.75" customHeight="1">
      <c r="A117" s="95" t="s">
        <v>20</v>
      </c>
      <c r="B117" s="274">
        <f>'Кэш-фло'!C6/(1+Данные!$B$150)*Данные!$B$150</f>
        <v>0</v>
      </c>
      <c r="C117" s="274">
        <f>'Кэш-фло'!D6/(1+Данные!$B$150)*Данные!$B$150</f>
        <v>0</v>
      </c>
      <c r="D117" s="274">
        <f>'Кэш-фло'!E6/(1+Данные!$B$150)*Данные!$B$150</f>
        <v>0</v>
      </c>
      <c r="E117" s="274">
        <f>'Кэш-фло'!F6/(1+Данные!$B$150)*Данные!$B$150</f>
        <v>0</v>
      </c>
      <c r="F117" s="274">
        <f>'Кэш-фло'!G6/(1+Данные!$B$150)*Данные!$B$150</f>
        <v>0</v>
      </c>
      <c r="G117" s="274">
        <f>'Кэш-фло'!H6/(1+Данные!$B$150)*Данные!$B$150</f>
        <v>0</v>
      </c>
      <c r="H117" s="274">
        <f>'Кэш-фло'!I6/(1+Данные!$B$150)*Данные!$B$150</f>
        <v>0</v>
      </c>
      <c r="I117" s="274">
        <f>'Кэш-фло'!J6/(1+Данные!$B$150)*Данные!$B$150</f>
        <v>0</v>
      </c>
      <c r="J117" s="274">
        <f>'Кэш-фло'!K6/(1+Данные!$B$150)*Данные!$B$150</f>
        <v>0</v>
      </c>
      <c r="K117" s="274">
        <f>'Кэш-фло'!L6/(1+Данные!$B$150)*Данные!$B$150</f>
        <v>0</v>
      </c>
      <c r="L117" s="274">
        <f>'Кэш-фло'!M6/(1+Данные!$B$150)*Данные!$B$150</f>
        <v>0</v>
      </c>
      <c r="M117" s="274">
        <f>'Кэш-фло'!N6/(1+Данные!$B$150)*Данные!$B$150</f>
        <v>0</v>
      </c>
      <c r="N117" s="274">
        <f>'Кэш-фло'!O6/(1+Данные!$B$150)*Данные!$B$150</f>
        <v>0</v>
      </c>
      <c r="O117" s="274">
        <f>'Кэш-фло'!P6/(1+Данные!$B$150)*Данные!$B$150</f>
        <v>0</v>
      </c>
      <c r="P117" s="274">
        <f>'Кэш-фло'!Q6/(1+Данные!$B$150)*Данные!$B$150</f>
        <v>0</v>
      </c>
      <c r="Q117" s="274">
        <f>'Кэш-фло'!R6/(1+Данные!$B$150)*Данные!$B$150</f>
        <v>0</v>
      </c>
      <c r="R117" s="274">
        <f>'Кэш-фло'!S6/(1+Данные!$B$150)*Данные!$B$150</f>
        <v>0</v>
      </c>
      <c r="S117" s="274">
        <f>'Кэш-фло'!T6/(1+Данные!$B$150)*Данные!$B$150</f>
        <v>0</v>
      </c>
      <c r="T117" s="274">
        <f>'Кэш-фло'!U6/(1+Данные!$B$150)*Данные!$B$150</f>
        <v>0</v>
      </c>
      <c r="U117" s="274">
        <f>'Кэш-фло'!V6/(1+Данные!$B$150)*Данные!$B$150</f>
        <v>0</v>
      </c>
      <c r="V117" s="274">
        <f>'Кэш-фло'!W6/(1+Данные!$B$150)*Данные!$B$150</f>
        <v>0</v>
      </c>
      <c r="W117" s="274">
        <f>'Кэш-фло'!X6/(1+Данные!$B$150)*Данные!$B$150</f>
        <v>0</v>
      </c>
      <c r="X117" s="274">
        <f>'Кэш-фло'!Y6/(1+Данные!$B$150)*Данные!$B$150</f>
        <v>0</v>
      </c>
      <c r="Y117" s="274">
        <f>'Кэш-фло'!Z6/(1+Данные!$B$150)*Данные!$B$150</f>
        <v>0</v>
      </c>
    </row>
    <row r="118" spans="1:25" s="282" customFormat="1" ht="12.75" customHeight="1">
      <c r="A118" s="306" t="s">
        <v>264</v>
      </c>
      <c r="B118" s="312">
        <f t="shared" ref="B118:Y118" si="5">SUM(B113:B117)</f>
        <v>0</v>
      </c>
      <c r="C118" s="312">
        <f t="shared" si="5"/>
        <v>0</v>
      </c>
      <c r="D118" s="312">
        <f t="shared" si="5"/>
        <v>0</v>
      </c>
      <c r="E118" s="312">
        <f t="shared" si="5"/>
        <v>0</v>
      </c>
      <c r="F118" s="312">
        <f t="shared" si="5"/>
        <v>0</v>
      </c>
      <c r="G118" s="312">
        <f t="shared" si="5"/>
        <v>0</v>
      </c>
      <c r="H118" s="312">
        <f t="shared" si="5"/>
        <v>0</v>
      </c>
      <c r="I118" s="312">
        <f t="shared" si="5"/>
        <v>0</v>
      </c>
      <c r="J118" s="312">
        <f t="shared" si="5"/>
        <v>0</v>
      </c>
      <c r="K118" s="312">
        <f t="shared" si="5"/>
        <v>0</v>
      </c>
      <c r="L118" s="312">
        <f t="shared" si="5"/>
        <v>0</v>
      </c>
      <c r="M118" s="312">
        <f t="shared" si="5"/>
        <v>0</v>
      </c>
      <c r="N118" s="312">
        <f t="shared" si="5"/>
        <v>0</v>
      </c>
      <c r="O118" s="312">
        <f t="shared" si="5"/>
        <v>0</v>
      </c>
      <c r="P118" s="312">
        <f t="shared" si="5"/>
        <v>0</v>
      </c>
      <c r="Q118" s="312">
        <f t="shared" si="5"/>
        <v>0</v>
      </c>
      <c r="R118" s="312">
        <f t="shared" si="5"/>
        <v>0</v>
      </c>
      <c r="S118" s="312">
        <f t="shared" si="5"/>
        <v>0</v>
      </c>
      <c r="T118" s="312">
        <f t="shared" si="5"/>
        <v>0</v>
      </c>
      <c r="U118" s="312">
        <f t="shared" si="5"/>
        <v>0</v>
      </c>
      <c r="V118" s="312">
        <f t="shared" si="5"/>
        <v>0</v>
      </c>
      <c r="W118" s="312">
        <f t="shared" si="5"/>
        <v>0</v>
      </c>
      <c r="X118" s="312">
        <f t="shared" si="5"/>
        <v>0</v>
      </c>
      <c r="Y118" s="312">
        <f t="shared" si="5"/>
        <v>0</v>
      </c>
    </row>
    <row r="119" spans="1:25" ht="12.75" customHeight="1" thickBot="1">
      <c r="A119" s="39" t="s">
        <v>265</v>
      </c>
      <c r="B119" s="313">
        <f>B118/POWER(1+$B$110,0.0833333*Расчеты!$B$9*Расчеты!B1)</f>
        <v>0</v>
      </c>
      <c r="C119" s="313">
        <f>C118/POWER(1+$B$110,0.0833333*Расчеты!$B$9*Расчеты!C1)</f>
        <v>0</v>
      </c>
      <c r="D119" s="313">
        <f>D118/POWER(1+$B$110,0.0833333*Расчеты!$B$9*Расчеты!D1)</f>
        <v>0</v>
      </c>
      <c r="E119" s="313">
        <f>E118/POWER(1+$B$110,0.0833333*Расчеты!$B$9*Расчеты!E1)</f>
        <v>0</v>
      </c>
      <c r="F119" s="313">
        <f>F118/POWER(1+$B$110,0.0833333*Расчеты!$B$9*Расчеты!F1)</f>
        <v>0</v>
      </c>
      <c r="G119" s="313">
        <f>G118/POWER(1+$B$110,0.0833333*Расчеты!$B$9*Расчеты!G1)</f>
        <v>0</v>
      </c>
      <c r="H119" s="313">
        <f>H118/POWER(1+$B$110,0.0833333*Расчеты!$B$9*Расчеты!H1)</f>
        <v>0</v>
      </c>
      <c r="I119" s="313">
        <f>I118/POWER(1+$B$110,0.0833333*Расчеты!$B$9*Расчеты!I1)</f>
        <v>0</v>
      </c>
      <c r="J119" s="313">
        <f>J118/POWER(1+$B$110,0.0833333*Расчеты!$B$9*Расчеты!J1)</f>
        <v>0</v>
      </c>
      <c r="K119" s="313">
        <f>K118/POWER(1+$B$110,0.0833333*Расчеты!$B$9*Расчеты!K1)</f>
        <v>0</v>
      </c>
      <c r="L119" s="313">
        <f>L118/POWER(1+$B$110,0.0833333*Расчеты!$B$9*Расчеты!L1)</f>
        <v>0</v>
      </c>
      <c r="M119" s="313">
        <f>M118/POWER(1+$B$110,0.0833333*Расчеты!$B$9*Расчеты!M1)</f>
        <v>0</v>
      </c>
      <c r="N119" s="313">
        <f>N118/POWER(1+$B$110,0.0833333*Расчеты!$B$9*Расчеты!N1)</f>
        <v>0</v>
      </c>
      <c r="O119" s="313">
        <f>O118/POWER(1+$B$110,0.0833333*Расчеты!$B$9*Расчеты!O1)</f>
        <v>0</v>
      </c>
      <c r="P119" s="313">
        <f>P118/POWER(1+$B$110,0.0833333*Расчеты!$B$9*Расчеты!P1)</f>
        <v>0</v>
      </c>
      <c r="Q119" s="313">
        <f>Q118/POWER(1+$B$110,0.0833333*Расчеты!$B$9*Расчеты!Q1)</f>
        <v>0</v>
      </c>
      <c r="R119" s="313">
        <f>R118/POWER(1+$B$110,0.0833333*Расчеты!$B$9*Расчеты!R1)</f>
        <v>0</v>
      </c>
      <c r="S119" s="313">
        <f>S118/POWER(1+$B$110,0.0833333*Расчеты!$B$9*Расчеты!S1)</f>
        <v>0</v>
      </c>
      <c r="T119" s="313">
        <f>T118/POWER(1+$B$110,0.0833333*Расчеты!$B$9*Расчеты!T1)</f>
        <v>0</v>
      </c>
      <c r="U119" s="313">
        <f>U118/POWER(1+$B$110,0.0833333*Расчеты!$B$9*Расчеты!U1)</f>
        <v>0</v>
      </c>
      <c r="V119" s="313">
        <f>V118/POWER(1+$B$110,0.0833333*Расчеты!$B$9*Расчеты!V1)</f>
        <v>0</v>
      </c>
      <c r="W119" s="313">
        <f>W118/POWER(1+$B$110,0.0833333*Расчеты!$B$9*Расчеты!W1)</f>
        <v>0</v>
      </c>
      <c r="X119" s="313">
        <f>X118/POWER(1+$B$110,0.0833333*Расчеты!$B$9*Расчеты!X1)</f>
        <v>0</v>
      </c>
      <c r="Y119" s="313">
        <f>Y118/POWER(1+$B$110,0.0833333*Расчеты!$B$9*Расчеты!Y1)</f>
        <v>0</v>
      </c>
    </row>
    <row r="120" spans="1:25" ht="12.75" customHeight="1">
      <c r="B120" s="281"/>
      <c r="C120" s="281"/>
      <c r="D120" s="281"/>
      <c r="E120" s="281"/>
      <c r="F120" s="281"/>
      <c r="G120" s="281"/>
      <c r="H120" s="281"/>
      <c r="I120" s="281"/>
      <c r="J120" s="281"/>
      <c r="K120" s="281"/>
      <c r="L120" s="281"/>
      <c r="M120" s="281"/>
    </row>
    <row r="121" spans="1:25" ht="12.75" customHeight="1">
      <c r="A121" s="29" t="s">
        <v>267</v>
      </c>
      <c r="B121" s="314">
        <f ca="1">SUM($B$119:INDIRECT(ADDRESS(ROW(B119),1+PRJ_DURATION,,1)))</f>
        <v>0</v>
      </c>
      <c r="C121" s="283" t="s">
        <v>262</v>
      </c>
      <c r="D121" s="281"/>
      <c r="E121" s="281"/>
      <c r="F121" s="281"/>
      <c r="G121" s="281"/>
      <c r="H121" s="281"/>
      <c r="I121" s="281"/>
      <c r="J121" s="281"/>
      <c r="K121" s="281"/>
      <c r="L121" s="281"/>
      <c r="M121" s="281"/>
    </row>
    <row r="122" spans="1:25">
      <c r="B122" s="348"/>
    </row>
  </sheetData>
  <pageMargins left="0.39370078740157483" right="0.39370078740157483" top="0.98425196850393704" bottom="0.98425196850393704" header="0.51181102362204722" footer="0.51181102362204722"/>
  <pageSetup paperSize="9" pageOrder="overThenDown" orientation="landscape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/>
  <dimension ref="A2:I48"/>
  <sheetViews>
    <sheetView topLeftCell="A49" workbookViewId="0">
      <selection activeCell="K9" sqref="K9"/>
    </sheetView>
  </sheetViews>
  <sheetFormatPr defaultRowHeight="12.75"/>
  <sheetData>
    <row r="2" spans="1:9">
      <c r="A2" s="1" t="s">
        <v>198</v>
      </c>
      <c r="B2" s="2"/>
      <c r="C2" s="2"/>
      <c r="D2" s="2"/>
      <c r="E2" s="2"/>
      <c r="F2" s="2"/>
      <c r="G2" s="2"/>
      <c r="H2" s="2"/>
      <c r="I2" s="3"/>
    </row>
    <row r="3" spans="1:9">
      <c r="A3" s="4"/>
      <c r="B3" s="5"/>
      <c r="C3" s="5"/>
      <c r="D3" s="5"/>
      <c r="E3" s="5"/>
      <c r="F3" s="5"/>
      <c r="G3" s="5"/>
      <c r="H3" s="5"/>
      <c r="I3" s="6"/>
    </row>
    <row r="26" spans="1:9">
      <c r="A26" s="1" t="s">
        <v>126</v>
      </c>
      <c r="B26" s="2"/>
      <c r="C26" s="2"/>
      <c r="D26" s="2"/>
      <c r="E26" s="2"/>
      <c r="F26" s="2"/>
      <c r="G26" s="2"/>
      <c r="H26" s="2"/>
      <c r="I26" s="3"/>
    </row>
    <row r="48" spans="1:9">
      <c r="A48" s="1" t="s">
        <v>199</v>
      </c>
      <c r="B48" s="2"/>
      <c r="C48" s="2"/>
      <c r="D48" s="2"/>
      <c r="E48" s="2"/>
      <c r="F48" s="2"/>
      <c r="G48" s="2"/>
      <c r="H48" s="2"/>
      <c r="I48" s="3"/>
    </row>
  </sheetData>
  <sheetProtection sheet="1" objects="1" scenarios="1"/>
  <pageMargins left="0.75" right="0.75" top="1" bottom="1" header="0.5" footer="0.5"/>
  <pageSetup paperSize="9" orientation="portrait" horizontalDpi="300" verticalDpi="300" r:id="rId1"/>
  <headerFooter alignWithMargins="0"/>
  <rowBreaks count="1" manualBreakCount="1">
    <brk id="47" max="16383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/>
  <dimension ref="A1:K24"/>
  <sheetViews>
    <sheetView workbookViewId="0">
      <selection activeCell="B35" sqref="B35"/>
    </sheetView>
  </sheetViews>
  <sheetFormatPr defaultColWidth="9.140625" defaultRowHeight="12.75" customHeight="1"/>
  <cols>
    <col min="1" max="1" width="39.42578125" style="7" customWidth="1"/>
    <col min="2" max="11" width="10.7109375" style="7" customWidth="1"/>
    <col min="12" max="16384" width="9.140625" style="7"/>
  </cols>
  <sheetData>
    <row r="1" spans="1:11" ht="12.75" customHeight="1">
      <c r="A1" s="29"/>
      <c r="B1" s="281"/>
      <c r="C1" s="281"/>
      <c r="D1" s="281"/>
      <c r="E1" s="281"/>
      <c r="F1" s="281"/>
      <c r="G1" s="281"/>
    </row>
    <row r="2" spans="1:11" ht="15.95" customHeight="1">
      <c r="A2" s="29"/>
      <c r="B2" s="281"/>
      <c r="C2" s="281"/>
      <c r="D2" s="281"/>
      <c r="E2" s="281"/>
      <c r="F2" s="281"/>
      <c r="G2" s="281"/>
    </row>
    <row r="3" spans="1:11" ht="12.75" customHeight="1">
      <c r="A3" s="29"/>
      <c r="B3" s="281"/>
      <c r="C3" s="281"/>
      <c r="D3" s="281"/>
      <c r="E3" s="281"/>
      <c r="F3" s="281"/>
      <c r="G3" s="281"/>
    </row>
    <row r="4" spans="1:11" s="345" customFormat="1" ht="15.95" customHeight="1">
      <c r="A4" s="343" t="s">
        <v>365</v>
      </c>
      <c r="B4" s="344"/>
      <c r="C4" s="344"/>
      <c r="D4" s="344"/>
      <c r="E4" s="344"/>
      <c r="F4" s="344"/>
      <c r="G4" s="344"/>
    </row>
    <row r="5" spans="1:11" ht="12.75" customHeight="1" thickBot="1">
      <c r="A5" s="29"/>
      <c r="B5" s="281"/>
      <c r="C5" s="281"/>
      <c r="D5" s="281"/>
      <c r="E5" s="281"/>
      <c r="F5" s="281"/>
      <c r="G5" s="281"/>
    </row>
    <row r="6" spans="1:11" ht="12.75" customHeight="1" thickBot="1">
      <c r="A6" s="327" t="s">
        <v>357</v>
      </c>
      <c r="B6" s="328">
        <v>0.05</v>
      </c>
      <c r="C6" s="328">
        <v>0.1</v>
      </c>
      <c r="D6" s="328">
        <v>0.15</v>
      </c>
      <c r="E6" s="328">
        <v>0.2</v>
      </c>
      <c r="F6" s="328">
        <v>0.25</v>
      </c>
      <c r="G6" s="328">
        <v>0.3</v>
      </c>
      <c r="H6" s="328">
        <v>0.35</v>
      </c>
      <c r="I6" s="328">
        <v>0.4</v>
      </c>
      <c r="J6" s="328">
        <v>0.45</v>
      </c>
      <c r="K6" s="328">
        <v>0.5</v>
      </c>
    </row>
    <row r="7" spans="1:11" ht="12.75" customHeight="1">
      <c r="A7" s="326" t="s">
        <v>269</v>
      </c>
      <c r="B7" s="337">
        <v>83918.897838684381</v>
      </c>
      <c r="C7" s="337">
        <v>-15564.026740363683</v>
      </c>
      <c r="D7" s="337">
        <v>-115046.95131941163</v>
      </c>
      <c r="E7" s="337">
        <v>-214529.87589845969</v>
      </c>
      <c r="F7" s="337">
        <v>-314012.80047750776</v>
      </c>
      <c r="G7" s="337">
        <v>-413495.72505655576</v>
      </c>
      <c r="H7" s="337">
        <v>-512978.64963560383</v>
      </c>
      <c r="I7" s="337">
        <v>-612461.57421465172</v>
      </c>
      <c r="J7" s="337">
        <v>-711944.49879369978</v>
      </c>
      <c r="K7" s="337">
        <v>-811427.42337274784</v>
      </c>
    </row>
    <row r="8" spans="1:11" ht="12.75" customHeight="1">
      <c r="A8" s="35" t="s">
        <v>270</v>
      </c>
      <c r="B8" s="338">
        <v>83918.897838684381</v>
      </c>
      <c r="C8" s="338">
        <v>-15564.026740363683</v>
      </c>
      <c r="D8" s="338">
        <v>-115046.95131941163</v>
      </c>
      <c r="E8" s="338">
        <v>-214529.87589845969</v>
      </c>
      <c r="F8" s="338">
        <v>-314012.80047750776</v>
      </c>
      <c r="G8" s="338">
        <v>-413495.72505655576</v>
      </c>
      <c r="H8" s="338">
        <v>-512978.64963560383</v>
      </c>
      <c r="I8" s="338">
        <v>-612461.57421465172</v>
      </c>
      <c r="J8" s="338">
        <v>-711944.49879369978</v>
      </c>
      <c r="K8" s="338">
        <v>-811427.42337274784</v>
      </c>
    </row>
    <row r="9" spans="1:11" ht="12.75" customHeight="1">
      <c r="A9" s="35" t="s">
        <v>274</v>
      </c>
      <c r="B9" s="338">
        <v>183401.82241773244</v>
      </c>
      <c r="C9" s="338">
        <v>183401.82241773244</v>
      </c>
      <c r="D9" s="338">
        <v>183401.82241773244</v>
      </c>
      <c r="E9" s="338">
        <v>183401.82241773244</v>
      </c>
      <c r="F9" s="338">
        <v>183401.82241773244</v>
      </c>
      <c r="G9" s="338">
        <v>183401.82241773244</v>
      </c>
      <c r="H9" s="338">
        <v>183401.82241773244</v>
      </c>
      <c r="I9" s="338">
        <v>183401.82241773244</v>
      </c>
      <c r="J9" s="338">
        <v>183401.82241773244</v>
      </c>
      <c r="K9" s="338">
        <v>183401.82241773244</v>
      </c>
    </row>
    <row r="10" spans="1:11" ht="12.75" customHeight="1">
      <c r="A10" s="35" t="s">
        <v>271</v>
      </c>
      <c r="B10" s="338">
        <v>161809.64603263966</v>
      </c>
      <c r="C10" s="338">
        <v>140217.46964754676</v>
      </c>
      <c r="D10" s="338">
        <v>118625.29326245387</v>
      </c>
      <c r="E10" s="338">
        <v>97033.116877361317</v>
      </c>
      <c r="F10" s="338">
        <v>75440.940492268419</v>
      </c>
      <c r="G10" s="338">
        <v>53848.764107175637</v>
      </c>
      <c r="H10" s="338">
        <v>32256.587722082855</v>
      </c>
      <c r="I10" s="338">
        <v>10664.411336990073</v>
      </c>
      <c r="J10" s="338">
        <v>-10927.765048102709</v>
      </c>
      <c r="K10" s="338">
        <v>-32519.94143319549</v>
      </c>
    </row>
    <row r="11" spans="1:11" ht="12.75" customHeight="1">
      <c r="A11" s="35" t="s">
        <v>272</v>
      </c>
      <c r="B11" s="338">
        <v>156866.94527097442</v>
      </c>
      <c r="C11" s="338">
        <v>130332.06812421652</v>
      </c>
      <c r="D11" s="338">
        <v>103797.19097745861</v>
      </c>
      <c r="E11" s="338">
        <v>77262.313830700587</v>
      </c>
      <c r="F11" s="338">
        <v>50727.43668394268</v>
      </c>
      <c r="G11" s="338">
        <v>24192.559537184541</v>
      </c>
      <c r="H11" s="338">
        <v>-2342.3176095733652</v>
      </c>
      <c r="I11" s="338">
        <v>-28877.194756331271</v>
      </c>
      <c r="J11" s="338">
        <v>-55412.071903089411</v>
      </c>
      <c r="K11" s="338">
        <v>-81946.949049847084</v>
      </c>
    </row>
    <row r="12" spans="1:11" ht="12.75" customHeight="1" thickBot="1">
      <c r="A12" s="39" t="s">
        <v>273</v>
      </c>
      <c r="B12" s="339">
        <v>183401.82241773244</v>
      </c>
      <c r="C12" s="339">
        <v>183401.82241773244</v>
      </c>
      <c r="D12" s="339">
        <v>183401.82241773244</v>
      </c>
      <c r="E12" s="339">
        <v>183401.82241773244</v>
      </c>
      <c r="F12" s="339">
        <v>183401.82241773244</v>
      </c>
      <c r="G12" s="339">
        <v>183401.82241773244</v>
      </c>
      <c r="H12" s="339">
        <v>183401.82241773244</v>
      </c>
      <c r="I12" s="339">
        <v>183401.82241773244</v>
      </c>
      <c r="J12" s="339">
        <v>183401.82241773244</v>
      </c>
      <c r="K12" s="339">
        <v>183401.82241773244</v>
      </c>
    </row>
    <row r="13" spans="1:11" ht="12.75" customHeight="1" thickBot="1">
      <c r="A13" s="29"/>
      <c r="B13" s="281"/>
      <c r="C13" s="281"/>
      <c r="D13" s="281"/>
      <c r="E13" s="281"/>
      <c r="F13" s="281"/>
      <c r="G13" s="281"/>
    </row>
    <row r="14" spans="1:11" ht="12.75" customHeight="1" thickBot="1">
      <c r="A14" s="327" t="s">
        <v>364</v>
      </c>
      <c r="B14" s="328">
        <v>0.05</v>
      </c>
      <c r="C14" s="328">
        <v>0.1</v>
      </c>
      <c r="D14" s="328">
        <v>0.15</v>
      </c>
      <c r="E14" s="328">
        <v>0.2</v>
      </c>
      <c r="F14" s="328">
        <v>0.25</v>
      </c>
      <c r="G14" s="328">
        <v>0.3</v>
      </c>
      <c r="H14" s="328">
        <v>0.35</v>
      </c>
      <c r="I14" s="328">
        <v>0.4</v>
      </c>
      <c r="J14" s="328">
        <v>0.45</v>
      </c>
      <c r="K14" s="328">
        <v>0.5</v>
      </c>
    </row>
    <row r="15" spans="1:11" ht="12.75" customHeight="1">
      <c r="A15" s="326" t="s">
        <v>269</v>
      </c>
      <c r="B15" s="340">
        <v>-1030000</v>
      </c>
      <c r="C15" s="340">
        <v>-1030000</v>
      </c>
      <c r="D15" s="340">
        <v>-1031000</v>
      </c>
      <c r="E15" s="340">
        <v>-1046000</v>
      </c>
      <c r="F15" s="340">
        <v>-1061000</v>
      </c>
      <c r="G15" s="340">
        <v>-1076000</v>
      </c>
      <c r="H15" s="340">
        <v>-1091000</v>
      </c>
      <c r="I15" s="340">
        <v>-1106000</v>
      </c>
      <c r="J15" s="340">
        <v>-1121000</v>
      </c>
      <c r="K15" s="340">
        <v>-1136000</v>
      </c>
    </row>
    <row r="16" spans="1:11" ht="12.75" customHeight="1">
      <c r="A16" s="35" t="s">
        <v>270</v>
      </c>
      <c r="B16" s="341">
        <v>-1030000</v>
      </c>
      <c r="C16" s="341">
        <v>-1030000</v>
      </c>
      <c r="D16" s="341">
        <v>-1031000</v>
      </c>
      <c r="E16" s="341">
        <v>-1046000</v>
      </c>
      <c r="F16" s="341">
        <v>-1061000</v>
      </c>
      <c r="G16" s="341">
        <v>-1076000</v>
      </c>
      <c r="H16" s="341">
        <v>-1091000</v>
      </c>
      <c r="I16" s="341">
        <v>-1106000</v>
      </c>
      <c r="J16" s="341">
        <v>-1121000</v>
      </c>
      <c r="K16" s="341">
        <v>-1136000</v>
      </c>
    </row>
    <row r="17" spans="1:11" ht="12.75" customHeight="1">
      <c r="A17" s="35" t="s">
        <v>274</v>
      </c>
      <c r="B17" s="341">
        <v>-1030000</v>
      </c>
      <c r="C17" s="341">
        <v>-1030000</v>
      </c>
      <c r="D17" s="341">
        <v>-1030000</v>
      </c>
      <c r="E17" s="341">
        <v>-1030000</v>
      </c>
      <c r="F17" s="341">
        <v>-1030000</v>
      </c>
      <c r="G17" s="341">
        <v>-1030000</v>
      </c>
      <c r="H17" s="341">
        <v>-1030000</v>
      </c>
      <c r="I17" s="341">
        <v>-1030000</v>
      </c>
      <c r="J17" s="341">
        <v>-1030000</v>
      </c>
      <c r="K17" s="341">
        <v>-1030000</v>
      </c>
    </row>
    <row r="18" spans="1:11" ht="12.75" customHeight="1">
      <c r="A18" s="35" t="s">
        <v>271</v>
      </c>
      <c r="B18" s="341">
        <v>-1031500</v>
      </c>
      <c r="C18" s="341">
        <v>-1033000</v>
      </c>
      <c r="D18" s="341">
        <v>-1034500</v>
      </c>
      <c r="E18" s="341">
        <v>-1036000</v>
      </c>
      <c r="F18" s="341">
        <v>-1037500</v>
      </c>
      <c r="G18" s="341">
        <v>-1039000</v>
      </c>
      <c r="H18" s="341">
        <v>-1040500</v>
      </c>
      <c r="I18" s="341">
        <v>-1042000</v>
      </c>
      <c r="J18" s="341">
        <v>-1047200</v>
      </c>
      <c r="K18" s="341">
        <v>-1054000</v>
      </c>
    </row>
    <row r="19" spans="1:11" ht="12.75" customHeight="1">
      <c r="A19" s="35" t="s">
        <v>272</v>
      </c>
      <c r="B19" s="341">
        <v>-1057500</v>
      </c>
      <c r="C19" s="341">
        <v>-1085000</v>
      </c>
      <c r="D19" s="341">
        <v>-1112500</v>
      </c>
      <c r="E19" s="341">
        <v>-1140000</v>
      </c>
      <c r="F19" s="341">
        <v>-1167500</v>
      </c>
      <c r="G19" s="341">
        <v>-1195000</v>
      </c>
      <c r="H19" s="341">
        <v>-1222500</v>
      </c>
      <c r="I19" s="341">
        <v>-1250000</v>
      </c>
      <c r="J19" s="341">
        <v>-1277500</v>
      </c>
      <c r="K19" s="341">
        <v>-1305000</v>
      </c>
    </row>
    <row r="20" spans="1:11" ht="12.75" customHeight="1" thickBot="1">
      <c r="A20" s="39" t="s">
        <v>273</v>
      </c>
      <c r="B20" s="342">
        <v>-1030000</v>
      </c>
      <c r="C20" s="342">
        <v>-1030000</v>
      </c>
      <c r="D20" s="342">
        <v>-1030000</v>
      </c>
      <c r="E20" s="342">
        <v>-1030000</v>
      </c>
      <c r="F20" s="342">
        <v>-1030000</v>
      </c>
      <c r="G20" s="342">
        <v>-1030000</v>
      </c>
      <c r="H20" s="342">
        <v>-1030000</v>
      </c>
      <c r="I20" s="342">
        <v>-1030000</v>
      </c>
      <c r="J20" s="342">
        <v>-1030000</v>
      </c>
      <c r="K20" s="342">
        <v>-1030000</v>
      </c>
    </row>
    <row r="22" spans="1:11" ht="12.75" customHeight="1">
      <c r="A22" s="240" t="s">
        <v>367</v>
      </c>
    </row>
    <row r="23" spans="1:11" ht="12.75" customHeight="1">
      <c r="A23" s="240" t="s">
        <v>368</v>
      </c>
    </row>
    <row r="24" spans="1:11" ht="12.75" customHeight="1">
      <c r="A24" s="240" t="s">
        <v>369</v>
      </c>
    </row>
  </sheetData>
  <sheetProtection sheet="1" objects="1" scenarios="1"/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025">
              <controlPr defaultSize="0" print="0" autoFill="0" autoPict="0" macro="[0]!SensitivityAnalysis">
                <anchor moveWithCells="1" sizeWithCells="1">
                  <from>
                    <xdr:col>0</xdr:col>
                    <xdr:colOff>19050</xdr:colOff>
                    <xdr:row>1</xdr:row>
                    <xdr:rowOff>0</xdr:rowOff>
                  </from>
                  <to>
                    <xdr:col>0</xdr:col>
                    <xdr:colOff>2714625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Drop Down 1026">
              <controlPr defaultSize="0" autoLine="0" autoPict="0" macro="[0]!TuneSensitivity">
                <anchor mov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1</xdr:col>
                    <xdr:colOff>704850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"/>
  <dimension ref="A1:Y69"/>
  <sheetViews>
    <sheetView workbookViewId="0">
      <selection activeCell="B29" sqref="B29"/>
    </sheetView>
  </sheetViews>
  <sheetFormatPr defaultColWidth="9.140625" defaultRowHeight="11.25"/>
  <cols>
    <col min="1" max="1" width="34.5703125" style="7" customWidth="1"/>
    <col min="2" max="13" width="8.7109375" style="7" customWidth="1"/>
    <col min="14" max="16384" width="9.140625" style="7"/>
  </cols>
  <sheetData>
    <row r="1" spans="1:25">
      <c r="A1" s="243" t="s">
        <v>236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  <c r="V1" s="7">
        <v>21</v>
      </c>
      <c r="W1" s="7">
        <v>22</v>
      </c>
      <c r="X1" s="7">
        <v>23</v>
      </c>
      <c r="Y1" s="7">
        <v>24</v>
      </c>
    </row>
    <row r="2" spans="1:25" ht="12" thickBot="1"/>
    <row r="3" spans="1:25" s="16" customFormat="1" ht="27" customHeight="1" thickBot="1">
      <c r="C3" s="302" t="s">
        <v>149</v>
      </c>
      <c r="D3" s="303" t="s">
        <v>150</v>
      </c>
      <c r="E3" s="304" t="s">
        <v>157</v>
      </c>
      <c r="F3" s="303" t="s">
        <v>155</v>
      </c>
      <c r="G3" s="304" t="s">
        <v>170</v>
      </c>
      <c r="H3" s="305" t="s">
        <v>1</v>
      </c>
    </row>
    <row r="4" spans="1:25">
      <c r="A4" s="9" t="s">
        <v>151</v>
      </c>
      <c r="B4" s="17" t="s">
        <v>143</v>
      </c>
      <c r="C4" s="19">
        <v>1</v>
      </c>
      <c r="D4" s="294">
        <v>1</v>
      </c>
      <c r="E4" s="18" t="s">
        <v>158</v>
      </c>
      <c r="F4" s="292">
        <v>2018</v>
      </c>
      <c r="G4" s="299">
        <f>DATE(B13,B11,1)</f>
        <v>46388</v>
      </c>
      <c r="H4" s="299" t="str">
        <f>CHOOSE($B$8,MONTH(G4) &amp; "/",ROUNDUP(MONTH(G4)/3,0) &amp; IF(CURLANGUAGE=1," кв./"," q./"),ROUNDUP(MONTH(G4)/6,0) &amp; "/","") &amp; YEAR(G4)</f>
        <v>1/2027</v>
      </c>
    </row>
    <row r="5" spans="1:25">
      <c r="A5" s="10"/>
      <c r="B5" s="18" t="s">
        <v>144</v>
      </c>
      <c r="C5" s="19">
        <v>2</v>
      </c>
      <c r="D5" s="294">
        <v>2</v>
      </c>
      <c r="E5" s="18" t="s">
        <v>159</v>
      </c>
      <c r="F5" s="292">
        <v>2019</v>
      </c>
      <c r="G5" s="299">
        <f t="shared" ref="G5:G14" si="0">DATE(YEAR(G4),MONTH(G4)+$B$9,1)</f>
        <v>46419</v>
      </c>
      <c r="H5" s="299" t="str">
        <f t="shared" ref="H5:H27" si="1">CHOOSE($B$8,MONTH(G5) &amp; "/",ROUNDUP(MONTH(G5)/3,0) &amp; IF(CURLANGUAGE=1," кв./"," q./"),ROUNDUP(MONTH(G5)/6,0) &amp; "/","") &amp; YEAR(G5)</f>
        <v>2/2027</v>
      </c>
    </row>
    <row r="6" spans="1:25">
      <c r="A6" s="10"/>
      <c r="B6" s="18" t="s">
        <v>152</v>
      </c>
      <c r="C6" s="19">
        <v>3</v>
      </c>
      <c r="D6" s="294">
        <v>3</v>
      </c>
      <c r="E6" s="18" t="s">
        <v>160</v>
      </c>
      <c r="F6" s="292">
        <v>2020</v>
      </c>
      <c r="G6" s="299">
        <f t="shared" si="0"/>
        <v>46447</v>
      </c>
      <c r="H6" s="299" t="str">
        <f t="shared" si="1"/>
        <v>3/2027</v>
      </c>
    </row>
    <row r="7" spans="1:25">
      <c r="A7" s="20"/>
      <c r="B7" s="21" t="s">
        <v>145</v>
      </c>
      <c r="C7" s="19">
        <v>4</v>
      </c>
      <c r="D7" s="294">
        <v>4</v>
      </c>
      <c r="E7" s="18" t="s">
        <v>161</v>
      </c>
      <c r="F7" s="292">
        <v>2021</v>
      </c>
      <c r="G7" s="299">
        <f t="shared" si="0"/>
        <v>46478</v>
      </c>
      <c r="H7" s="299" t="str">
        <f t="shared" si="1"/>
        <v>4/2027</v>
      </c>
    </row>
    <row r="8" spans="1:25">
      <c r="A8" s="10" t="s">
        <v>146</v>
      </c>
      <c r="B8" s="18">
        <v>1</v>
      </c>
      <c r="C8" s="19">
        <v>5</v>
      </c>
      <c r="D8" s="294">
        <v>5</v>
      </c>
      <c r="E8" s="18" t="s">
        <v>162</v>
      </c>
      <c r="F8" s="292">
        <v>2022</v>
      </c>
      <c r="G8" s="299">
        <f t="shared" si="0"/>
        <v>46508</v>
      </c>
      <c r="H8" s="299" t="str">
        <f t="shared" si="1"/>
        <v>5/2027</v>
      </c>
    </row>
    <row r="9" spans="1:25">
      <c r="A9" s="10" t="s">
        <v>147</v>
      </c>
      <c r="B9" s="18">
        <f>CHOOSE(B8,1,3,6,12)</f>
        <v>1</v>
      </c>
      <c r="C9" s="19">
        <v>6</v>
      </c>
      <c r="D9" s="294">
        <v>6</v>
      </c>
      <c r="E9" s="18" t="s">
        <v>163</v>
      </c>
      <c r="F9" s="292">
        <v>2023</v>
      </c>
      <c r="G9" s="299">
        <f t="shared" si="0"/>
        <v>46539</v>
      </c>
      <c r="H9" s="299" t="str">
        <f t="shared" si="1"/>
        <v>6/2027</v>
      </c>
    </row>
    <row r="10" spans="1:25">
      <c r="A10" s="10" t="s">
        <v>142</v>
      </c>
      <c r="B10" s="18">
        <v>6</v>
      </c>
      <c r="C10" s="19">
        <v>7</v>
      </c>
      <c r="D10" s="294">
        <v>7</v>
      </c>
      <c r="E10" s="18" t="s">
        <v>164</v>
      </c>
      <c r="F10" s="292">
        <v>2024</v>
      </c>
      <c r="G10" s="299">
        <f t="shared" si="0"/>
        <v>46569</v>
      </c>
      <c r="H10" s="299" t="str">
        <f t="shared" si="1"/>
        <v>7/2027</v>
      </c>
    </row>
    <row r="11" spans="1:25">
      <c r="A11" s="7" t="s">
        <v>153</v>
      </c>
      <c r="B11" s="18">
        <v>1</v>
      </c>
      <c r="C11" s="19">
        <v>8</v>
      </c>
      <c r="D11" s="294">
        <v>8</v>
      </c>
      <c r="E11" s="18" t="s">
        <v>165</v>
      </c>
      <c r="F11" s="292">
        <v>2025</v>
      </c>
      <c r="G11" s="299">
        <f t="shared" si="0"/>
        <v>46600</v>
      </c>
      <c r="H11" s="299" t="str">
        <f t="shared" si="1"/>
        <v>8/2027</v>
      </c>
    </row>
    <row r="12" spans="1:25">
      <c r="A12" s="10" t="s">
        <v>156</v>
      </c>
      <c r="B12" s="18">
        <v>9</v>
      </c>
      <c r="C12" s="19">
        <v>9</v>
      </c>
      <c r="D12" s="294">
        <v>9</v>
      </c>
      <c r="E12" s="18" t="s">
        <v>166</v>
      </c>
      <c r="F12" s="292">
        <v>2026</v>
      </c>
      <c r="G12" s="299">
        <f t="shared" si="0"/>
        <v>46631</v>
      </c>
      <c r="H12" s="299" t="str">
        <f t="shared" si="1"/>
        <v>9/2027</v>
      </c>
    </row>
    <row r="13" spans="1:25">
      <c r="A13" s="10" t="s">
        <v>154</v>
      </c>
      <c r="B13" s="18">
        <f>F4+B12</f>
        <v>2027</v>
      </c>
      <c r="C13" s="19">
        <v>10</v>
      </c>
      <c r="D13" s="294">
        <v>10</v>
      </c>
      <c r="E13" s="18" t="s">
        <v>167</v>
      </c>
      <c r="F13" s="292">
        <v>2027</v>
      </c>
      <c r="G13" s="299">
        <f t="shared" si="0"/>
        <v>46661</v>
      </c>
      <c r="H13" s="299" t="str">
        <f t="shared" si="1"/>
        <v>10/2027</v>
      </c>
    </row>
    <row r="14" spans="1:25">
      <c r="A14" s="10"/>
      <c r="B14" s="18"/>
      <c r="C14" s="19">
        <v>11</v>
      </c>
      <c r="D14" s="294">
        <v>11</v>
      </c>
      <c r="E14" s="18" t="s">
        <v>168</v>
      </c>
      <c r="F14" s="292">
        <v>2028</v>
      </c>
      <c r="G14" s="299">
        <f t="shared" si="0"/>
        <v>46692</v>
      </c>
      <c r="H14" s="299" t="str">
        <f t="shared" si="1"/>
        <v>11/2027</v>
      </c>
    </row>
    <row r="15" spans="1:25" ht="12" thickBot="1">
      <c r="A15" s="11" t="s">
        <v>141</v>
      </c>
      <c r="B15" s="22">
        <v>1</v>
      </c>
      <c r="C15" s="19">
        <v>12</v>
      </c>
      <c r="D15" s="294">
        <v>12</v>
      </c>
      <c r="E15" s="22" t="s">
        <v>169</v>
      </c>
      <c r="F15" s="293"/>
      <c r="G15" s="299">
        <f>DATE(YEAR(G14),MONTH(G14)+$B$9,1)</f>
        <v>46722</v>
      </c>
      <c r="H15" s="299" t="str">
        <f t="shared" si="1"/>
        <v>12/2027</v>
      </c>
    </row>
    <row r="16" spans="1:25" ht="12" thickBot="1">
      <c r="C16" s="297">
        <v>13</v>
      </c>
      <c r="D16" s="295">
        <v>13</v>
      </c>
      <c r="G16" s="300">
        <f t="shared" ref="G16:G27" si="2">DATE(YEAR(G15),MONTH(G15)+$B$9,1)</f>
        <v>46753</v>
      </c>
      <c r="H16" s="299" t="str">
        <f t="shared" si="1"/>
        <v>1/2028</v>
      </c>
    </row>
    <row r="17" spans="1:25" ht="12" thickBot="1">
      <c r="A17" s="325" t="s">
        <v>356</v>
      </c>
      <c r="B17" s="322">
        <f>ROW(Данные!A12)</f>
        <v>12</v>
      </c>
      <c r="C17" s="321">
        <v>14</v>
      </c>
      <c r="D17" s="295">
        <v>14</v>
      </c>
      <c r="G17" s="300">
        <f t="shared" si="2"/>
        <v>46784</v>
      </c>
      <c r="H17" s="299" t="str">
        <f t="shared" si="1"/>
        <v>2/2028</v>
      </c>
    </row>
    <row r="18" spans="1:25">
      <c r="A18" s="336" t="s">
        <v>358</v>
      </c>
      <c r="B18" s="323">
        <f>ROW(Данные!A40)</f>
        <v>40</v>
      </c>
      <c r="C18" s="321">
        <v>15</v>
      </c>
      <c r="D18" s="295">
        <v>15</v>
      </c>
      <c r="G18" s="300">
        <f t="shared" si="2"/>
        <v>46813</v>
      </c>
      <c r="H18" s="299" t="str">
        <f t="shared" si="1"/>
        <v>3/2028</v>
      </c>
    </row>
    <row r="19" spans="1:25">
      <c r="A19" s="336" t="s">
        <v>359</v>
      </c>
      <c r="B19" s="323">
        <f>ROW(Данные!A62)</f>
        <v>62</v>
      </c>
      <c r="C19" s="321">
        <v>16</v>
      </c>
      <c r="D19" s="295">
        <v>16</v>
      </c>
      <c r="G19" s="300">
        <f t="shared" si="2"/>
        <v>46844</v>
      </c>
      <c r="H19" s="299" t="str">
        <f t="shared" si="1"/>
        <v>4/2028</v>
      </c>
    </row>
    <row r="20" spans="1:25">
      <c r="A20" s="336" t="s">
        <v>360</v>
      </c>
      <c r="B20" s="323">
        <f>ROW(Данные!A84)</f>
        <v>84</v>
      </c>
      <c r="C20" s="321">
        <v>17</v>
      </c>
      <c r="D20" s="295">
        <v>17</v>
      </c>
      <c r="G20" s="300">
        <f t="shared" si="2"/>
        <v>46874</v>
      </c>
      <c r="H20" s="299" t="str">
        <f t="shared" si="1"/>
        <v>5/2028</v>
      </c>
    </row>
    <row r="21" spans="1:25" ht="12" thickBot="1">
      <c r="A21" s="336" t="s">
        <v>218</v>
      </c>
      <c r="B21" s="324">
        <f>ROW(Данные!A106)</f>
        <v>106</v>
      </c>
      <c r="C21" s="321">
        <v>18</v>
      </c>
      <c r="D21" s="295">
        <v>18</v>
      </c>
      <c r="G21" s="300">
        <f t="shared" si="2"/>
        <v>46905</v>
      </c>
      <c r="H21" s="299" t="str">
        <f t="shared" si="1"/>
        <v>6/2028</v>
      </c>
    </row>
    <row r="22" spans="1:25">
      <c r="A22" s="336" t="s">
        <v>361</v>
      </c>
      <c r="B22" s="322">
        <f>ROW(Анализ!A44)</f>
        <v>44</v>
      </c>
      <c r="C22" s="321">
        <v>19</v>
      </c>
      <c r="D22" s="295">
        <v>19</v>
      </c>
      <c r="G22" s="300">
        <f t="shared" si="2"/>
        <v>46935</v>
      </c>
      <c r="H22" s="299" t="str">
        <f t="shared" si="1"/>
        <v>7/2028</v>
      </c>
    </row>
    <row r="23" spans="1:25" ht="12" thickBot="1">
      <c r="A23" s="336" t="s">
        <v>362</v>
      </c>
      <c r="B23" s="323">
        <f>ROW(Анализ!A65)</f>
        <v>65</v>
      </c>
      <c r="C23" s="321">
        <v>20</v>
      </c>
      <c r="D23" s="296">
        <v>20</v>
      </c>
      <c r="G23" s="300">
        <f t="shared" si="2"/>
        <v>46966</v>
      </c>
      <c r="H23" s="299" t="str">
        <f t="shared" si="1"/>
        <v>8/2028</v>
      </c>
    </row>
    <row r="24" spans="1:25" ht="12" thickBot="1">
      <c r="A24" s="336" t="s">
        <v>363</v>
      </c>
      <c r="B24" s="324">
        <f>ROW(Анализ!A86)</f>
        <v>86</v>
      </c>
      <c r="C24" s="321">
        <v>21</v>
      </c>
      <c r="D24" s="18"/>
      <c r="G24" s="300">
        <f t="shared" si="2"/>
        <v>46997</v>
      </c>
      <c r="H24" s="299" t="str">
        <f t="shared" si="1"/>
        <v>9/2028</v>
      </c>
    </row>
    <row r="25" spans="1:25">
      <c r="B25" s="18"/>
      <c r="C25" s="297">
        <v>22</v>
      </c>
      <c r="D25" s="18"/>
      <c r="G25" s="300">
        <f t="shared" si="2"/>
        <v>47027</v>
      </c>
      <c r="H25" s="299" t="str">
        <f t="shared" si="1"/>
        <v>10/2028</v>
      </c>
    </row>
    <row r="26" spans="1:25">
      <c r="B26" s="18"/>
      <c r="C26" s="297">
        <v>23</v>
      </c>
      <c r="D26" s="18"/>
      <c r="G26" s="300">
        <f t="shared" si="2"/>
        <v>47058</v>
      </c>
      <c r="H26" s="299" t="str">
        <f t="shared" si="1"/>
        <v>11/2028</v>
      </c>
    </row>
    <row r="27" spans="1:25">
      <c r="B27" s="18"/>
      <c r="C27" s="298">
        <v>24</v>
      </c>
      <c r="D27" s="18"/>
      <c r="G27" s="301">
        <f t="shared" si="2"/>
        <v>47088</v>
      </c>
      <c r="H27" s="299" t="str">
        <f t="shared" si="1"/>
        <v>12/2028</v>
      </c>
    </row>
    <row r="28" spans="1:25" ht="12" thickBot="1">
      <c r="A28" s="7" t="s">
        <v>187</v>
      </c>
      <c r="B28" s="8" t="str">
        <f ca="1">IF(ABS(SUM(Баланс!C16:N16)-SUM(Баланс!C25:N25))&lt;1,"OK","Ошибка!")</f>
        <v>Ошибка!</v>
      </c>
      <c r="C28" s="18"/>
    </row>
    <row r="29" spans="1:25" ht="12" thickBot="1">
      <c r="A29" s="252" t="s">
        <v>196</v>
      </c>
      <c r="B29" s="23">
        <f>SIGN(Анализ!B37)</f>
        <v>-1</v>
      </c>
      <c r="C29" s="24">
        <f>SIGN(Анализ!C37)</f>
        <v>-1</v>
      </c>
      <c r="D29" s="24">
        <f>SIGN(Анализ!D37)</f>
        <v>-1</v>
      </c>
      <c r="E29" s="24">
        <f>SIGN(Анализ!E37)</f>
        <v>-1</v>
      </c>
      <c r="F29" s="24">
        <f>SIGN(Анализ!F37)</f>
        <v>-1</v>
      </c>
      <c r="G29" s="24">
        <f>SIGN(Анализ!G37)</f>
        <v>1</v>
      </c>
      <c r="H29" s="24">
        <f>SIGN(Анализ!H37)</f>
        <v>1</v>
      </c>
      <c r="I29" s="24">
        <f>SIGN(Анализ!I37)</f>
        <v>1</v>
      </c>
      <c r="J29" s="24">
        <f>SIGN(Анализ!J37)</f>
        <v>1</v>
      </c>
      <c r="K29" s="24">
        <f>SIGN(Анализ!K37)</f>
        <v>1</v>
      </c>
      <c r="L29" s="24">
        <f>SIGN(Анализ!L37)</f>
        <v>1</v>
      </c>
      <c r="M29" s="25">
        <f>SIGN(Анализ!M37)</f>
        <v>1</v>
      </c>
      <c r="N29" s="25">
        <f>SIGN(Анализ!N37)</f>
        <v>1</v>
      </c>
      <c r="O29" s="25">
        <f>SIGN(Анализ!O37)</f>
        <v>-1</v>
      </c>
      <c r="P29" s="25">
        <f>SIGN(Анализ!P37)</f>
        <v>-1</v>
      </c>
      <c r="Q29" s="25">
        <f>SIGN(Анализ!Q37)</f>
        <v>-1</v>
      </c>
      <c r="R29" s="25">
        <f>SIGN(Анализ!R37)</f>
        <v>-1</v>
      </c>
      <c r="S29" s="25">
        <f>SIGN(Анализ!S37)</f>
        <v>-1</v>
      </c>
      <c r="T29" s="25">
        <f>SIGN(Анализ!T37)</f>
        <v>-1</v>
      </c>
      <c r="U29" s="25">
        <f>SIGN(Анализ!U37)</f>
        <v>-1</v>
      </c>
      <c r="V29" s="25">
        <f>SIGN(Анализ!V37)</f>
        <v>-1</v>
      </c>
      <c r="W29" s="25">
        <f>SIGN(Анализ!W37)</f>
        <v>-1</v>
      </c>
      <c r="X29" s="25">
        <f>SIGN(Анализ!X37)</f>
        <v>-1</v>
      </c>
      <c r="Y29" s="25">
        <f>SIGN(Анализ!Y37)</f>
        <v>-1</v>
      </c>
    </row>
    <row r="30" spans="1:25" ht="12" thickBot="1">
      <c r="A30" s="11" t="s">
        <v>197</v>
      </c>
      <c r="B30" s="12">
        <f ca="1">(MATCH(1,B29:INDIRECT(ADDRESS(ROW(B29),1+PRJ_DURATION,,1)),0)-1)*B9</f>
        <v>5</v>
      </c>
    </row>
    <row r="31" spans="1:25" ht="12" thickBot="1"/>
    <row r="32" spans="1:25" ht="13.5" thickBot="1">
      <c r="A32" s="358" t="s">
        <v>207</v>
      </c>
      <c r="B32" s="359"/>
      <c r="C32" s="359"/>
      <c r="D32" s="359"/>
      <c r="E32" s="359"/>
      <c r="F32" s="359"/>
      <c r="G32" s="359"/>
      <c r="H32" s="359"/>
      <c r="I32" s="359"/>
      <c r="J32" s="359"/>
      <c r="K32" s="359"/>
      <c r="L32" s="359"/>
      <c r="M32" s="360"/>
    </row>
    <row r="33" spans="1:25" s="13" customFormat="1" ht="12.75" customHeight="1">
      <c r="A33" s="27" t="s">
        <v>93</v>
      </c>
      <c r="B33" s="28">
        <f>Данные!C165+Данные!C203+Данные!C213</f>
        <v>0</v>
      </c>
      <c r="C33" s="28">
        <f>B33+Данные!D203+Данные!D213</f>
        <v>0</v>
      </c>
      <c r="D33" s="28">
        <f>C33+Данные!E203+Данные!E213</f>
        <v>0</v>
      </c>
      <c r="E33" s="28">
        <f>D33+Данные!F203+Данные!F213</f>
        <v>0</v>
      </c>
      <c r="F33" s="28">
        <f>E33+Данные!G203+Данные!G213</f>
        <v>0</v>
      </c>
      <c r="G33" s="28">
        <f>F33+Данные!H203+Данные!H213</f>
        <v>0</v>
      </c>
      <c r="H33" s="28">
        <f>G33+Данные!I203+Данные!I213</f>
        <v>0</v>
      </c>
      <c r="I33" s="28">
        <f>H33+Данные!J203+Данные!J213</f>
        <v>0</v>
      </c>
      <c r="J33" s="28">
        <f>I33+Данные!K203+Данные!K213</f>
        <v>0</v>
      </c>
      <c r="K33" s="28">
        <f>J33+Данные!L203+Данные!L213</f>
        <v>0</v>
      </c>
      <c r="L33" s="28">
        <f>K33+Данные!M203+Данные!M213</f>
        <v>0</v>
      </c>
      <c r="M33" s="28">
        <f>L33+Данные!N203+Данные!N213</f>
        <v>0</v>
      </c>
      <c r="N33" s="28">
        <f>M33+Данные!O203+Данные!O213</f>
        <v>0</v>
      </c>
      <c r="O33" s="28">
        <f>N33+Данные!P203+Данные!P213</f>
        <v>0</v>
      </c>
      <c r="P33" s="28">
        <f>O33+Данные!Q203+Данные!Q213</f>
        <v>0</v>
      </c>
      <c r="Q33" s="28">
        <f>P33+Данные!R203+Данные!R213</f>
        <v>0</v>
      </c>
      <c r="R33" s="28">
        <f>Q33+Данные!S203+Данные!S213</f>
        <v>0</v>
      </c>
      <c r="S33" s="28">
        <f>R33+Данные!T203+Данные!T213</f>
        <v>0</v>
      </c>
      <c r="T33" s="28">
        <f>S33+Данные!U203+Данные!U213</f>
        <v>0</v>
      </c>
      <c r="U33" s="28">
        <f>T33+Данные!V203+Данные!V213</f>
        <v>0</v>
      </c>
      <c r="V33" s="28">
        <f>U33+Данные!W203+Данные!W213</f>
        <v>0</v>
      </c>
      <c r="W33" s="28">
        <f>V33+Данные!X203+Данные!X213</f>
        <v>0</v>
      </c>
      <c r="X33" s="28">
        <f>W33+Данные!Y203+Данные!Y213</f>
        <v>0</v>
      </c>
      <c r="Y33" s="28">
        <f>X33+Данные!Z203+Данные!Z213</f>
        <v>0</v>
      </c>
    </row>
    <row r="34" spans="1:25" s="13" customFormat="1" ht="12.75" customHeight="1">
      <c r="A34" s="15" t="s">
        <v>94</v>
      </c>
      <c r="B34" s="14">
        <f>Данные!C166+Данные!C204</f>
        <v>0</v>
      </c>
      <c r="C34" s="14">
        <f>B34+Данные!D204</f>
        <v>0</v>
      </c>
      <c r="D34" s="14">
        <f>C34+Данные!E204</f>
        <v>0</v>
      </c>
      <c r="E34" s="14">
        <f>D34+Данные!F204</f>
        <v>0</v>
      </c>
      <c r="F34" s="14">
        <f>E34+Данные!G204</f>
        <v>0</v>
      </c>
      <c r="G34" s="14">
        <f>F34+Данные!H204</f>
        <v>0</v>
      </c>
      <c r="H34" s="14">
        <f>G34+Данные!I204</f>
        <v>0</v>
      </c>
      <c r="I34" s="14">
        <f>H34+Данные!J204</f>
        <v>0</v>
      </c>
      <c r="J34" s="14">
        <f>I34+Данные!K204</f>
        <v>0</v>
      </c>
      <c r="K34" s="14">
        <f>J34+Данные!L204</f>
        <v>0</v>
      </c>
      <c r="L34" s="14">
        <f>K34+Данные!M204</f>
        <v>0</v>
      </c>
      <c r="M34" s="14">
        <f>L34+Данные!N204</f>
        <v>0</v>
      </c>
      <c r="N34" s="14">
        <f>M34+Данные!O204</f>
        <v>0</v>
      </c>
      <c r="O34" s="14">
        <f>N34+Данные!P204</f>
        <v>0</v>
      </c>
      <c r="P34" s="14">
        <f>O34+Данные!Q204</f>
        <v>0</v>
      </c>
      <c r="Q34" s="14">
        <f>P34+Данные!R204</f>
        <v>0</v>
      </c>
      <c r="R34" s="14">
        <f>Q34+Данные!S204</f>
        <v>0</v>
      </c>
      <c r="S34" s="14">
        <f>R34+Данные!T204</f>
        <v>0</v>
      </c>
      <c r="T34" s="14">
        <f>S34+Данные!U204</f>
        <v>0</v>
      </c>
      <c r="U34" s="14">
        <f>T34+Данные!V204</f>
        <v>0</v>
      </c>
      <c r="V34" s="14">
        <f>U34+Данные!W204</f>
        <v>0</v>
      </c>
      <c r="W34" s="14">
        <f>V34+Данные!X204</f>
        <v>0</v>
      </c>
      <c r="X34" s="14">
        <f>W34+Данные!Y204</f>
        <v>0</v>
      </c>
      <c r="Y34" s="14">
        <f>X34+Данные!Z204</f>
        <v>0</v>
      </c>
    </row>
    <row r="35" spans="1:25" s="13" customFormat="1" ht="12.75" customHeight="1">
      <c r="A35" s="15" t="s">
        <v>95</v>
      </c>
      <c r="B35" s="14">
        <f>Данные!C167+Данные!C205</f>
        <v>0</v>
      </c>
      <c r="C35" s="14">
        <f>B35+Данные!D205</f>
        <v>0</v>
      </c>
      <c r="D35" s="14">
        <f>C35+Данные!E205</f>
        <v>0</v>
      </c>
      <c r="E35" s="14">
        <f>D35+Данные!F205</f>
        <v>0</v>
      </c>
      <c r="F35" s="14">
        <f>E35+Данные!G205</f>
        <v>0</v>
      </c>
      <c r="G35" s="14">
        <f>F35+Данные!H205</f>
        <v>0</v>
      </c>
      <c r="H35" s="14">
        <f>G35+Данные!I205</f>
        <v>0</v>
      </c>
      <c r="I35" s="14">
        <f>H35+Данные!J205</f>
        <v>0</v>
      </c>
      <c r="J35" s="14">
        <f>I35+Данные!K205</f>
        <v>0</v>
      </c>
      <c r="K35" s="14">
        <f>J35+Данные!L205</f>
        <v>0</v>
      </c>
      <c r="L35" s="14">
        <f>K35+Данные!M205</f>
        <v>0</v>
      </c>
      <c r="M35" s="14">
        <f>L35+Данные!N205</f>
        <v>0</v>
      </c>
      <c r="N35" s="14">
        <f>M35+Данные!O205</f>
        <v>0</v>
      </c>
      <c r="O35" s="14">
        <f>N35+Данные!P205</f>
        <v>0</v>
      </c>
      <c r="P35" s="14">
        <f>O35+Данные!Q205</f>
        <v>0</v>
      </c>
      <c r="Q35" s="14">
        <f>P35+Данные!R205</f>
        <v>0</v>
      </c>
      <c r="R35" s="14">
        <f>Q35+Данные!S205</f>
        <v>0</v>
      </c>
      <c r="S35" s="14">
        <f>R35+Данные!T205</f>
        <v>0</v>
      </c>
      <c r="T35" s="14">
        <f>S35+Данные!U205</f>
        <v>0</v>
      </c>
      <c r="U35" s="14">
        <f>T35+Данные!V205</f>
        <v>0</v>
      </c>
      <c r="V35" s="14">
        <f>U35+Данные!W205</f>
        <v>0</v>
      </c>
      <c r="W35" s="14">
        <f>V35+Данные!X205</f>
        <v>0</v>
      </c>
      <c r="X35" s="14">
        <f>W35+Данные!Y205</f>
        <v>0</v>
      </c>
      <c r="Y35" s="14">
        <f>X35+Данные!Z205</f>
        <v>0</v>
      </c>
    </row>
    <row r="36" spans="1:25" s="13" customFormat="1" ht="12.75" customHeight="1">
      <c r="A36" s="15" t="s">
        <v>96</v>
      </c>
      <c r="B36" s="14">
        <f>Данные!C168+Данные!C206</f>
        <v>5714.2857142857147</v>
      </c>
      <c r="C36" s="14">
        <f>B36+Данные!D206</f>
        <v>5714.2857142857147</v>
      </c>
      <c r="D36" s="14">
        <f>C36+Данные!E206</f>
        <v>5714.2857142857147</v>
      </c>
      <c r="E36" s="14">
        <f>D36+Данные!F206</f>
        <v>5714.2857142857147</v>
      </c>
      <c r="F36" s="14">
        <f>E36+Данные!G206</f>
        <v>5714.2857142857147</v>
      </c>
      <c r="G36" s="14">
        <f>F36+Данные!H206</f>
        <v>5714.2857142857147</v>
      </c>
      <c r="H36" s="14">
        <f>G36+Данные!I206</f>
        <v>5714.2857142857147</v>
      </c>
      <c r="I36" s="14">
        <f>H36+Данные!J206</f>
        <v>5714.2857142857147</v>
      </c>
      <c r="J36" s="14">
        <f>I36+Данные!K206</f>
        <v>5714.2857142857147</v>
      </c>
      <c r="K36" s="14">
        <f>J36+Данные!L206</f>
        <v>5714.2857142857147</v>
      </c>
      <c r="L36" s="14">
        <f>K36+Данные!M206</f>
        <v>5714.2857142857147</v>
      </c>
      <c r="M36" s="14">
        <f>L36+Данные!N206</f>
        <v>5714.2857142857147</v>
      </c>
      <c r="N36" s="14">
        <f>M36+Данные!O206</f>
        <v>5714.2857142857147</v>
      </c>
      <c r="O36" s="14">
        <f>N36+Данные!P206</f>
        <v>5714.2857142857147</v>
      </c>
      <c r="P36" s="14">
        <f>O36+Данные!Q206</f>
        <v>5714.2857142857147</v>
      </c>
      <c r="Q36" s="14">
        <f>P36+Данные!R206</f>
        <v>5714.2857142857147</v>
      </c>
      <c r="R36" s="14">
        <f>Q36+Данные!S206</f>
        <v>5714.2857142857147</v>
      </c>
      <c r="S36" s="14">
        <f>R36+Данные!T206</f>
        <v>5714.2857142857147</v>
      </c>
      <c r="T36" s="14">
        <f>S36+Данные!U206</f>
        <v>5714.2857142857147</v>
      </c>
      <c r="U36" s="14">
        <f>T36+Данные!V206</f>
        <v>5714.2857142857147</v>
      </c>
      <c r="V36" s="14">
        <f>U36+Данные!W206</f>
        <v>5714.2857142857147</v>
      </c>
      <c r="W36" s="14">
        <f>V36+Данные!X206</f>
        <v>5714.2857142857147</v>
      </c>
      <c r="X36" s="14">
        <f>W36+Данные!Y206</f>
        <v>5714.2857142857147</v>
      </c>
      <c r="Y36" s="14">
        <f>X36+Данные!Z206</f>
        <v>5714.2857142857147</v>
      </c>
    </row>
    <row r="37" spans="1:25" s="13" customFormat="1" ht="12.75" customHeight="1" thickBot="1">
      <c r="A37" s="26" t="s">
        <v>97</v>
      </c>
      <c r="B37" s="14">
        <f>Данные!C169+Данные!C207</f>
        <v>7142.8571428571431</v>
      </c>
      <c r="C37" s="14">
        <f>B37+Данные!D207</f>
        <v>7142.8571428571431</v>
      </c>
      <c r="D37" s="14">
        <f>C37+Данные!E207</f>
        <v>7142.8571428571431</v>
      </c>
      <c r="E37" s="14">
        <f>D37+Данные!F207</f>
        <v>7142.8571428571431</v>
      </c>
      <c r="F37" s="14">
        <f>E37+Данные!G207</f>
        <v>7142.8571428571431</v>
      </c>
      <c r="G37" s="14">
        <f>F37+Данные!H207</f>
        <v>7142.8571428571431</v>
      </c>
      <c r="H37" s="14">
        <f>G37+Данные!I207</f>
        <v>7142.8571428571431</v>
      </c>
      <c r="I37" s="14">
        <f>H37+Данные!J207</f>
        <v>7142.8571428571431</v>
      </c>
      <c r="J37" s="14">
        <f>I37+Данные!K207</f>
        <v>7142.8571428571431</v>
      </c>
      <c r="K37" s="14">
        <f>J37+Данные!L207</f>
        <v>7142.8571428571431</v>
      </c>
      <c r="L37" s="14">
        <f>K37+Данные!M207</f>
        <v>7142.8571428571431</v>
      </c>
      <c r="M37" s="14">
        <f>L37+Данные!N207</f>
        <v>7142.8571428571431</v>
      </c>
      <c r="N37" s="14">
        <f>M37+Данные!O207</f>
        <v>7142.8571428571431</v>
      </c>
      <c r="O37" s="14">
        <f>N37+Данные!P207</f>
        <v>7142.8571428571431</v>
      </c>
      <c r="P37" s="14">
        <f>O37+Данные!Q207</f>
        <v>7142.8571428571431</v>
      </c>
      <c r="Q37" s="14">
        <f>P37+Данные!R207</f>
        <v>7142.8571428571431</v>
      </c>
      <c r="R37" s="14">
        <f>Q37+Данные!S207</f>
        <v>7142.8571428571431</v>
      </c>
      <c r="S37" s="14">
        <f>R37+Данные!T207</f>
        <v>7142.8571428571431</v>
      </c>
      <c r="T37" s="14">
        <f>S37+Данные!U207</f>
        <v>7142.8571428571431</v>
      </c>
      <c r="U37" s="14">
        <f>T37+Данные!V207</f>
        <v>7142.8571428571431</v>
      </c>
      <c r="V37" s="14">
        <f>U37+Данные!W207</f>
        <v>7142.8571428571431</v>
      </c>
      <c r="W37" s="14">
        <f>V37+Данные!X207</f>
        <v>7142.8571428571431</v>
      </c>
      <c r="X37" s="14">
        <f>W37+Данные!Y207</f>
        <v>7142.8571428571431</v>
      </c>
      <c r="Y37" s="14">
        <f>X37+Данные!Z207</f>
        <v>7142.8571428571431</v>
      </c>
    </row>
    <row r="38" spans="1:25" ht="13.5" thickBot="1">
      <c r="A38" s="358" t="s">
        <v>36</v>
      </c>
      <c r="B38" s="359"/>
      <c r="C38" s="359"/>
      <c r="D38" s="359"/>
      <c r="E38" s="359"/>
      <c r="F38" s="359"/>
      <c r="G38" s="359"/>
      <c r="H38" s="359"/>
      <c r="I38" s="359"/>
      <c r="J38" s="359"/>
      <c r="K38" s="359"/>
      <c r="L38" s="359"/>
      <c r="M38" s="360"/>
    </row>
    <row r="39" spans="1:25" s="13" customFormat="1" ht="12.75" customHeight="1">
      <c r="A39" s="27" t="s">
        <v>93</v>
      </c>
      <c r="B39" s="28">
        <f>Прибыль!C20</f>
        <v>0</v>
      </c>
      <c r="C39" s="28">
        <f>B39+Прибыль!D20</f>
        <v>0</v>
      </c>
      <c r="D39" s="28">
        <f>C39+Прибыль!E20</f>
        <v>0</v>
      </c>
      <c r="E39" s="28">
        <f>D39+Прибыль!F20</f>
        <v>0</v>
      </c>
      <c r="F39" s="28">
        <f>E39+Прибыль!G20</f>
        <v>0</v>
      </c>
      <c r="G39" s="28">
        <f>F39+Прибыль!H20</f>
        <v>0</v>
      </c>
      <c r="H39" s="28">
        <f>G39+Прибыль!I20</f>
        <v>0</v>
      </c>
      <c r="I39" s="28">
        <f>H39+Прибыль!J20</f>
        <v>0</v>
      </c>
      <c r="J39" s="28">
        <f>I39+Прибыль!K20</f>
        <v>0</v>
      </c>
      <c r="K39" s="28">
        <f>J39+Прибыль!L20</f>
        <v>0</v>
      </c>
      <c r="L39" s="28">
        <f>K39+Прибыль!M20</f>
        <v>0</v>
      </c>
      <c r="M39" s="28">
        <f>L39+Прибыль!N20</f>
        <v>0</v>
      </c>
      <c r="N39" s="28">
        <f>M39+Прибыль!O20</f>
        <v>0</v>
      </c>
      <c r="O39" s="28">
        <f>N39+Прибыль!P20</f>
        <v>0</v>
      </c>
      <c r="P39" s="28">
        <f>O39+Прибыль!Q20</f>
        <v>0</v>
      </c>
      <c r="Q39" s="28">
        <f>P39+Прибыль!R20</f>
        <v>0</v>
      </c>
      <c r="R39" s="28">
        <f>Q39+Прибыль!S20</f>
        <v>0</v>
      </c>
      <c r="S39" s="28">
        <f>R39+Прибыль!T20</f>
        <v>0</v>
      </c>
      <c r="T39" s="28">
        <f>S39+Прибыль!U20</f>
        <v>0</v>
      </c>
      <c r="U39" s="28">
        <f>T39+Прибыль!V20</f>
        <v>0</v>
      </c>
      <c r="V39" s="28">
        <f>U39+Прибыль!W20</f>
        <v>0</v>
      </c>
      <c r="W39" s="28">
        <f>V39+Прибыль!X20</f>
        <v>0</v>
      </c>
      <c r="X39" s="28">
        <f>W39+Прибыль!Y20</f>
        <v>0</v>
      </c>
      <c r="Y39" s="28">
        <f>X39+Прибыль!Z20</f>
        <v>0</v>
      </c>
    </row>
    <row r="40" spans="1:25" s="13" customFormat="1" ht="12.75" customHeight="1">
      <c r="A40" s="15" t="s">
        <v>94</v>
      </c>
      <c r="B40" s="28">
        <f>Прибыль!C21</f>
        <v>0</v>
      </c>
      <c r="C40" s="28">
        <f>B40+Прибыль!D21</f>
        <v>0</v>
      </c>
      <c r="D40" s="28">
        <f>C40+Прибыль!E21</f>
        <v>0</v>
      </c>
      <c r="E40" s="28">
        <f>D40+Прибыль!F21</f>
        <v>0</v>
      </c>
      <c r="F40" s="28">
        <f>E40+Прибыль!G21</f>
        <v>0</v>
      </c>
      <c r="G40" s="28">
        <f>F40+Прибыль!H21</f>
        <v>0</v>
      </c>
      <c r="H40" s="28">
        <f>G40+Прибыль!I21</f>
        <v>0</v>
      </c>
      <c r="I40" s="28">
        <f>H40+Прибыль!J21</f>
        <v>0</v>
      </c>
      <c r="J40" s="28">
        <f>I40+Прибыль!K21</f>
        <v>0</v>
      </c>
      <c r="K40" s="28">
        <f>J40+Прибыль!L21</f>
        <v>0</v>
      </c>
      <c r="L40" s="28">
        <f>K40+Прибыль!M21</f>
        <v>0</v>
      </c>
      <c r="M40" s="28">
        <f>L40+Прибыль!N21</f>
        <v>0</v>
      </c>
      <c r="N40" s="28">
        <f>M40+Прибыль!O21</f>
        <v>0</v>
      </c>
      <c r="O40" s="28">
        <f>N40+Прибыль!P21</f>
        <v>0</v>
      </c>
      <c r="P40" s="28">
        <f>O40+Прибыль!Q21</f>
        <v>0</v>
      </c>
      <c r="Q40" s="28">
        <f>P40+Прибыль!R21</f>
        <v>0</v>
      </c>
      <c r="R40" s="28">
        <f>Q40+Прибыль!S21</f>
        <v>0</v>
      </c>
      <c r="S40" s="28">
        <f>R40+Прибыль!T21</f>
        <v>0</v>
      </c>
      <c r="T40" s="28">
        <f>S40+Прибыль!U21</f>
        <v>0</v>
      </c>
      <c r="U40" s="28">
        <f>T40+Прибыль!V21</f>
        <v>0</v>
      </c>
      <c r="V40" s="28">
        <f>U40+Прибыль!W21</f>
        <v>0</v>
      </c>
      <c r="W40" s="28">
        <f>V40+Прибыль!X21</f>
        <v>0</v>
      </c>
      <c r="X40" s="28">
        <f>W40+Прибыль!Y21</f>
        <v>0</v>
      </c>
      <c r="Y40" s="28">
        <f>X40+Прибыль!Z21</f>
        <v>0</v>
      </c>
    </row>
    <row r="41" spans="1:25" s="13" customFormat="1" ht="12.75" customHeight="1">
      <c r="A41" s="15" t="s">
        <v>95</v>
      </c>
      <c r="B41" s="28">
        <f>Прибыль!C22</f>
        <v>0</v>
      </c>
      <c r="C41" s="28">
        <f>B41+Прибыль!D22</f>
        <v>0</v>
      </c>
      <c r="D41" s="28">
        <f>C41+Прибыль!E22</f>
        <v>0</v>
      </c>
      <c r="E41" s="28">
        <f>D41+Прибыль!F22</f>
        <v>0</v>
      </c>
      <c r="F41" s="28">
        <f>E41+Прибыль!G22</f>
        <v>0</v>
      </c>
      <c r="G41" s="28">
        <f>F41+Прибыль!H22</f>
        <v>0</v>
      </c>
      <c r="H41" s="28">
        <f>G41+Прибыль!I22</f>
        <v>0</v>
      </c>
      <c r="I41" s="28">
        <f>H41+Прибыль!J22</f>
        <v>0</v>
      </c>
      <c r="J41" s="28">
        <f>I41+Прибыль!K22</f>
        <v>0</v>
      </c>
      <c r="K41" s="28">
        <f>J41+Прибыль!L22</f>
        <v>0</v>
      </c>
      <c r="L41" s="28">
        <f>K41+Прибыль!M22</f>
        <v>0</v>
      </c>
      <c r="M41" s="28">
        <f>L41+Прибыль!N22</f>
        <v>0</v>
      </c>
      <c r="N41" s="28">
        <f>M41+Прибыль!O22</f>
        <v>0</v>
      </c>
      <c r="O41" s="28">
        <f>N41+Прибыль!P22</f>
        <v>0</v>
      </c>
      <c r="P41" s="28">
        <f>O41+Прибыль!Q22</f>
        <v>0</v>
      </c>
      <c r="Q41" s="28">
        <f>P41+Прибыль!R22</f>
        <v>0</v>
      </c>
      <c r="R41" s="28">
        <f>Q41+Прибыль!S22</f>
        <v>0</v>
      </c>
      <c r="S41" s="28">
        <f>R41+Прибыль!T22</f>
        <v>0</v>
      </c>
      <c r="T41" s="28">
        <f>S41+Прибыль!U22</f>
        <v>0</v>
      </c>
      <c r="U41" s="28">
        <f>T41+Прибыль!V22</f>
        <v>0</v>
      </c>
      <c r="V41" s="28">
        <f>U41+Прибыль!W22</f>
        <v>0</v>
      </c>
      <c r="W41" s="28">
        <f>V41+Прибыль!X22</f>
        <v>0</v>
      </c>
      <c r="X41" s="28">
        <f>W41+Прибыль!Y22</f>
        <v>0</v>
      </c>
      <c r="Y41" s="28">
        <f>X41+Прибыль!Z22</f>
        <v>0</v>
      </c>
    </row>
    <row r="42" spans="1:25" s="13" customFormat="1" ht="12.75" customHeight="1">
      <c r="A42" s="15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</row>
    <row r="43" spans="1:25" s="13" customFormat="1" ht="12.75" customHeight="1" thickBot="1">
      <c r="A43" s="26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</row>
    <row r="45" spans="1:25">
      <c r="A45" s="240" t="s">
        <v>226</v>
      </c>
      <c r="B45" s="248" t="s">
        <v>224</v>
      </c>
      <c r="C45" s="248" t="s">
        <v>225</v>
      </c>
    </row>
    <row r="46" spans="1:25">
      <c r="A46" s="7" t="s">
        <v>227</v>
      </c>
      <c r="B46" s="7">
        <f>INT(DEBIT_PERIOD/30/PERIOD_LEN)</f>
        <v>0</v>
      </c>
      <c r="C46" s="7">
        <f>DEBIT_PERIOD/30/PERIOD_LEN-DEBIT_INT</f>
        <v>0</v>
      </c>
    </row>
    <row r="47" spans="1:25">
      <c r="A47" s="7" t="s">
        <v>228</v>
      </c>
      <c r="B47" s="7">
        <f>INT(CREDIT_PERIOD/30/PERIOD_LEN)</f>
        <v>0</v>
      </c>
      <c r="C47" s="7">
        <f>CREDIT_PERIOD/30/PERIOD_LEN-CREDIT_INT</f>
        <v>0</v>
      </c>
    </row>
    <row r="48" spans="1:25">
      <c r="A48" s="7" t="s">
        <v>11</v>
      </c>
      <c r="B48" s="7">
        <f>INT(INVENT_PERIOD/30/PERIOD_LEN)</f>
        <v>0</v>
      </c>
      <c r="C48" s="7">
        <f>INVENT_PERIOD/30/PERIOD_LEN-INVENT_INT</f>
        <v>0</v>
      </c>
    </row>
    <row r="49" spans="1:25" ht="12" thickBot="1"/>
    <row r="50" spans="1:25" ht="12" thickBot="1">
      <c r="A50" s="246" t="s">
        <v>232</v>
      </c>
      <c r="B50" s="247">
        <f>B51-B52-B53</f>
        <v>0</v>
      </c>
      <c r="C50" s="247">
        <f t="shared" ref="C50:M50" si="3">C51-C52-C53</f>
        <v>0</v>
      </c>
      <c r="D50" s="247">
        <f t="shared" si="3"/>
        <v>0</v>
      </c>
      <c r="E50" s="247">
        <f t="shared" si="3"/>
        <v>0</v>
      </c>
      <c r="F50" s="247">
        <f t="shared" si="3"/>
        <v>0</v>
      </c>
      <c r="G50" s="247">
        <f t="shared" si="3"/>
        <v>0</v>
      </c>
      <c r="H50" s="247">
        <f t="shared" si="3"/>
        <v>0</v>
      </c>
      <c r="I50" s="247">
        <f t="shared" si="3"/>
        <v>0</v>
      </c>
      <c r="J50" s="247">
        <f t="shared" si="3"/>
        <v>0</v>
      </c>
      <c r="K50" s="247">
        <f t="shared" si="3"/>
        <v>0</v>
      </c>
      <c r="L50" s="247">
        <f t="shared" si="3"/>
        <v>0</v>
      </c>
      <c r="M50" s="247">
        <f t="shared" si="3"/>
        <v>0</v>
      </c>
      <c r="N50" s="247">
        <f t="shared" ref="N50:Y50" si="4">N51-N52-N53</f>
        <v>0</v>
      </c>
      <c r="O50" s="247">
        <f t="shared" si="4"/>
        <v>0</v>
      </c>
      <c r="P50" s="247">
        <f t="shared" si="4"/>
        <v>0</v>
      </c>
      <c r="Q50" s="247">
        <f t="shared" si="4"/>
        <v>0</v>
      </c>
      <c r="R50" s="247">
        <f t="shared" si="4"/>
        <v>0</v>
      </c>
      <c r="S50" s="247">
        <f t="shared" si="4"/>
        <v>0</v>
      </c>
      <c r="T50" s="247">
        <f t="shared" si="4"/>
        <v>0</v>
      </c>
      <c r="U50" s="247">
        <f t="shared" si="4"/>
        <v>0</v>
      </c>
      <c r="V50" s="247">
        <f t="shared" si="4"/>
        <v>0</v>
      </c>
      <c r="W50" s="247">
        <f t="shared" si="4"/>
        <v>0</v>
      </c>
      <c r="X50" s="247">
        <f t="shared" si="4"/>
        <v>0</v>
      </c>
      <c r="Y50" s="247">
        <f t="shared" si="4"/>
        <v>0</v>
      </c>
    </row>
    <row r="51" spans="1:25">
      <c r="A51" s="245" t="s">
        <v>233</v>
      </c>
      <c r="B51" s="245">
        <f>'Кэш-фло'!C3/(1+VAT)*VAT</f>
        <v>0</v>
      </c>
      <c r="C51" s="245">
        <f>'Кэш-фло'!D3/(1+VAT)*VAT</f>
        <v>0</v>
      </c>
      <c r="D51" s="245">
        <f>'Кэш-фло'!E3/(1+VAT)*VAT</f>
        <v>0</v>
      </c>
      <c r="E51" s="245">
        <f>'Кэш-фло'!F3/(1+VAT)*VAT</f>
        <v>0</v>
      </c>
      <c r="F51" s="245">
        <f>'Кэш-фло'!G3/(1+VAT)*VAT</f>
        <v>0</v>
      </c>
      <c r="G51" s="245">
        <f>'Кэш-фло'!H3/(1+VAT)*VAT</f>
        <v>0</v>
      </c>
      <c r="H51" s="245">
        <f>'Кэш-фло'!I3/(1+VAT)*VAT</f>
        <v>0</v>
      </c>
      <c r="I51" s="245">
        <f>'Кэш-фло'!J3/(1+VAT)*VAT</f>
        <v>0</v>
      </c>
      <c r="J51" s="245">
        <f>'Кэш-фло'!K3/(1+VAT)*VAT</f>
        <v>0</v>
      </c>
      <c r="K51" s="245">
        <f>'Кэш-фло'!L3/(1+VAT)*VAT</f>
        <v>0</v>
      </c>
      <c r="L51" s="245">
        <f>'Кэш-фло'!M3/(1+VAT)*VAT</f>
        <v>0</v>
      </c>
      <c r="M51" s="245">
        <f>'Кэш-фло'!N3/(1+VAT)*VAT</f>
        <v>0</v>
      </c>
      <c r="N51" s="245">
        <f>'Кэш-фло'!O3/(1+VAT)*VAT</f>
        <v>0</v>
      </c>
      <c r="O51" s="245">
        <f>'Кэш-фло'!P3/(1+VAT)*VAT</f>
        <v>0</v>
      </c>
      <c r="P51" s="245">
        <f>'Кэш-фло'!Q3/(1+VAT)*VAT</f>
        <v>0</v>
      </c>
      <c r="Q51" s="245">
        <f>'Кэш-фло'!R3/(1+VAT)*VAT</f>
        <v>0</v>
      </c>
      <c r="R51" s="245">
        <f>'Кэш-фло'!S3/(1+VAT)*VAT</f>
        <v>0</v>
      </c>
      <c r="S51" s="245">
        <f>'Кэш-фло'!T3/(1+VAT)*VAT</f>
        <v>0</v>
      </c>
      <c r="T51" s="245">
        <f>'Кэш-фло'!U3/(1+VAT)*VAT</f>
        <v>0</v>
      </c>
      <c r="U51" s="245">
        <f>'Кэш-фло'!V3/(1+VAT)*VAT</f>
        <v>0</v>
      </c>
      <c r="V51" s="245">
        <f>'Кэш-фло'!W3/(1+VAT)*VAT</f>
        <v>0</v>
      </c>
      <c r="W51" s="245">
        <f>'Кэш-фло'!X3/(1+VAT)*VAT</f>
        <v>0</v>
      </c>
      <c r="X51" s="245">
        <f>'Кэш-фло'!Y3/(1+VAT)*VAT</f>
        <v>0</v>
      </c>
      <c r="Y51" s="245">
        <f>'Кэш-фло'!Z3/(1+VAT)*VAT</f>
        <v>0</v>
      </c>
    </row>
    <row r="52" spans="1:25">
      <c r="A52" s="244" t="s">
        <v>234</v>
      </c>
      <c r="B52" s="244">
        <f>'Кэш-фло'!C4/(1+VAT)*VAT</f>
        <v>0</v>
      </c>
      <c r="C52" s="244">
        <f>'Кэш-фло'!D4/(1+VAT)*VAT</f>
        <v>0</v>
      </c>
      <c r="D52" s="244">
        <f>'Кэш-фло'!E4/(1+VAT)*VAT</f>
        <v>0</v>
      </c>
      <c r="E52" s="244">
        <f>'Кэш-фло'!F4/(1+VAT)*VAT</f>
        <v>0</v>
      </c>
      <c r="F52" s="244">
        <f>'Кэш-фло'!G4/(1+VAT)*VAT</f>
        <v>0</v>
      </c>
      <c r="G52" s="244">
        <f>'Кэш-фло'!H4/(1+VAT)*VAT</f>
        <v>0</v>
      </c>
      <c r="H52" s="244">
        <f>'Кэш-фло'!I4/(1+VAT)*VAT</f>
        <v>0</v>
      </c>
      <c r="I52" s="244">
        <f>'Кэш-фло'!J4/(1+VAT)*VAT</f>
        <v>0</v>
      </c>
      <c r="J52" s="244">
        <f>'Кэш-фло'!K4/(1+VAT)*VAT</f>
        <v>0</v>
      </c>
      <c r="K52" s="244">
        <f>'Кэш-фло'!L4/(1+VAT)*VAT</f>
        <v>0</v>
      </c>
      <c r="L52" s="244">
        <f>'Кэш-фло'!M4/(1+VAT)*VAT</f>
        <v>0</v>
      </c>
      <c r="M52" s="244">
        <f>'Кэш-фло'!N4/(1+VAT)*VAT</f>
        <v>0</v>
      </c>
      <c r="N52" s="244">
        <f>'Кэш-фло'!O4/(1+VAT)*VAT</f>
        <v>0</v>
      </c>
      <c r="O52" s="244">
        <f>'Кэш-фло'!P4/(1+VAT)*VAT</f>
        <v>0</v>
      </c>
      <c r="P52" s="244">
        <f>'Кэш-фло'!Q4/(1+VAT)*VAT</f>
        <v>0</v>
      </c>
      <c r="Q52" s="244">
        <f>'Кэш-фло'!R4/(1+VAT)*VAT</f>
        <v>0</v>
      </c>
      <c r="R52" s="244">
        <f>'Кэш-фло'!S4/(1+VAT)*VAT</f>
        <v>0</v>
      </c>
      <c r="S52" s="244">
        <f>'Кэш-фло'!T4/(1+VAT)*VAT</f>
        <v>0</v>
      </c>
      <c r="T52" s="244">
        <f>'Кэш-фло'!U4/(1+VAT)*VAT</f>
        <v>0</v>
      </c>
      <c r="U52" s="244">
        <f>'Кэш-фло'!V4/(1+VAT)*VAT</f>
        <v>0</v>
      </c>
      <c r="V52" s="244">
        <f>'Кэш-фло'!W4/(1+VAT)*VAT</f>
        <v>0</v>
      </c>
      <c r="W52" s="244">
        <f>'Кэш-фло'!X4/(1+VAT)*VAT</f>
        <v>0</v>
      </c>
      <c r="X52" s="244">
        <f>'Кэш-фло'!Y4/(1+VAT)*VAT</f>
        <v>0</v>
      </c>
      <c r="Y52" s="244">
        <f>'Кэш-фло'!Z4/(1+VAT)*VAT</f>
        <v>0</v>
      </c>
    </row>
    <row r="53" spans="1:25">
      <c r="A53" s="244" t="s">
        <v>235</v>
      </c>
      <c r="B53" s="244">
        <f>Прибыль!C13*VAT</f>
        <v>0</v>
      </c>
      <c r="C53" s="244">
        <f>Прибыль!D13*VAT</f>
        <v>0</v>
      </c>
      <c r="D53" s="244">
        <f>Прибыль!E13*VAT</f>
        <v>0</v>
      </c>
      <c r="E53" s="244">
        <f>Прибыль!F13*VAT</f>
        <v>0</v>
      </c>
      <c r="F53" s="244">
        <f>Прибыль!G13*VAT</f>
        <v>0</v>
      </c>
      <c r="G53" s="244">
        <f>Прибыль!H13*VAT</f>
        <v>0</v>
      </c>
      <c r="H53" s="244">
        <f>Прибыль!I13*VAT</f>
        <v>0</v>
      </c>
      <c r="I53" s="244">
        <f>Прибыль!J13*VAT</f>
        <v>0</v>
      </c>
      <c r="J53" s="244">
        <f>Прибыль!K13*VAT</f>
        <v>0</v>
      </c>
      <c r="K53" s="244">
        <f>Прибыль!L13*VAT</f>
        <v>0</v>
      </c>
      <c r="L53" s="244">
        <f>Прибыль!M13*VAT</f>
        <v>0</v>
      </c>
      <c r="M53" s="244">
        <f>Прибыль!N13*VAT</f>
        <v>0</v>
      </c>
      <c r="N53" s="244">
        <f>Прибыль!O13*VAT</f>
        <v>0</v>
      </c>
      <c r="O53" s="244">
        <f>Прибыль!P13*VAT</f>
        <v>0</v>
      </c>
      <c r="P53" s="244">
        <f>Прибыль!Q13*VAT</f>
        <v>0</v>
      </c>
      <c r="Q53" s="244">
        <f>Прибыль!R13*VAT</f>
        <v>0</v>
      </c>
      <c r="R53" s="244">
        <f>Прибыль!S13*VAT</f>
        <v>0</v>
      </c>
      <c r="S53" s="244">
        <f>Прибыль!T13*VAT</f>
        <v>0</v>
      </c>
      <c r="T53" s="244">
        <f>Прибыль!U13*VAT</f>
        <v>0</v>
      </c>
      <c r="U53" s="244">
        <f>Прибыль!V13*VAT</f>
        <v>0</v>
      </c>
      <c r="V53" s="244">
        <f>Прибыль!W13*VAT</f>
        <v>0</v>
      </c>
      <c r="W53" s="244">
        <f>Прибыль!X13*VAT</f>
        <v>0</v>
      </c>
      <c r="X53" s="244">
        <f>Прибыль!Y13*VAT</f>
        <v>0</v>
      </c>
      <c r="Y53" s="244">
        <f>Прибыль!Z13*VAT</f>
        <v>0</v>
      </c>
    </row>
    <row r="55" spans="1:25">
      <c r="A55" s="253" t="s">
        <v>248</v>
      </c>
      <c r="B55" s="254">
        <f>IF(INVENT_FRA&lt;0.01,IF(B1+INVENT_INT&lt;PRJ_DURATION,INDEX(Анализ!$B$65:$Y$65,B1+INVENT_INT),0),IF(B1+INVENT_INT&lt;PRJ_DURATION-1,INDEX(Анализ!$B$65:$Y$65,B1+INVENT_INT+1)*INVENT_FRA,0)+IF(B1+INVENT_INT&lt;PRJ_DURATION,INDEX(Анализ!$B$65:$Y$65,B1+INVENT_INT)*(1-INVENT_FRA),0))</f>
        <v>0</v>
      </c>
      <c r="C55" s="254">
        <f>IF(INVENT_FRA&lt;0.01,IF(C1+INVENT_INT&lt;PRJ_DURATION,INDEX(Анализ!$B$65:$Y$65,C1+INVENT_INT),0),IF(C1+INVENT_INT&lt;PRJ_DURATION-1,INDEX(Анализ!$B$65:$Y$65,C1+INVENT_INT+1)*INVENT_FRA,0)+IF(C1+INVENT_INT&lt;PRJ_DURATION,INDEX(Анализ!$B$65:$Y$65,C1+INVENT_INT)*(1-INVENT_FRA),0))</f>
        <v>0</v>
      </c>
      <c r="D55" s="254">
        <f>IF(INVENT_FRA&lt;0.01,IF(D1+INVENT_INT&lt;PRJ_DURATION,INDEX(Анализ!$B$65:$Y$65,D1+INVENT_INT),0),IF(D1+INVENT_INT&lt;PRJ_DURATION-1,INDEX(Анализ!$B$65:$Y$65,D1+INVENT_INT+1)*INVENT_FRA,0)+IF(D1+INVENT_INT&lt;PRJ_DURATION,INDEX(Анализ!$B$65:$Y$65,D1+INVENT_INT)*(1-INVENT_FRA),0))</f>
        <v>0</v>
      </c>
      <c r="E55" s="254">
        <f>IF(INVENT_FRA&lt;0.01,IF(E1+INVENT_INT&lt;PRJ_DURATION,INDEX(Анализ!$B$65:$Y$65,E1+INVENT_INT),0),IF(E1+INVENT_INT&lt;PRJ_DURATION-1,INDEX(Анализ!$B$65:$Y$65,E1+INVENT_INT+1)*INVENT_FRA,0)+IF(E1+INVENT_INT&lt;PRJ_DURATION,INDEX(Анализ!$B$65:$Y$65,E1+INVENT_INT)*(1-INVENT_FRA),0))</f>
        <v>0</v>
      </c>
      <c r="F55" s="254">
        <f>IF(INVENT_FRA&lt;0.01,IF(F1+INVENT_INT&lt;PRJ_DURATION,INDEX(Анализ!$B$65:$Y$65,F1+INVENT_INT),0),IF(F1+INVENT_INT&lt;PRJ_DURATION-1,INDEX(Анализ!$B$65:$Y$65,F1+INVENT_INT+1)*INVENT_FRA,0)+IF(F1+INVENT_INT&lt;PRJ_DURATION,INDEX(Анализ!$B$65:$Y$65,F1+INVENT_INT)*(1-INVENT_FRA),0))</f>
        <v>0</v>
      </c>
      <c r="G55" s="254">
        <f>IF(INVENT_FRA&lt;0.01,IF(G1+INVENT_INT&lt;PRJ_DURATION,INDEX(Анализ!$B$65:$Y$65,G1+INVENT_INT),0),IF(G1+INVENT_INT&lt;PRJ_DURATION-1,INDEX(Анализ!$B$65:$Y$65,G1+INVENT_INT+1)*INVENT_FRA,0)+IF(G1+INVENT_INT&lt;PRJ_DURATION,INDEX(Анализ!$B$65:$Y$65,G1+INVENT_INT)*(1-INVENT_FRA),0))</f>
        <v>0</v>
      </c>
      <c r="H55" s="254">
        <f>IF(INVENT_FRA&lt;0.01,IF(H1+INVENT_INT&lt;PRJ_DURATION,INDEX(Анализ!$B$65:$Y$65,H1+INVENT_INT),0),IF(H1+INVENT_INT&lt;PRJ_DURATION-1,INDEX(Анализ!$B$65:$Y$65,H1+INVENT_INT+1)*INVENT_FRA,0)+IF(H1+INVENT_INT&lt;PRJ_DURATION,INDEX(Анализ!$B$65:$Y$65,H1+INVENT_INT)*(1-INVENT_FRA),0))</f>
        <v>0</v>
      </c>
      <c r="I55" s="254">
        <f>IF(INVENT_FRA&lt;0.01,IF(I1+INVENT_INT&lt;PRJ_DURATION,INDEX(Анализ!$B$65:$Y$65,I1+INVENT_INT),0),IF(I1+INVENT_INT&lt;PRJ_DURATION-1,INDEX(Анализ!$B$65:$Y$65,I1+INVENT_INT+1)*INVENT_FRA,0)+IF(I1+INVENT_INT&lt;PRJ_DURATION,INDEX(Анализ!$B$65:$Y$65,I1+INVENT_INT)*(1-INVENT_FRA),0))</f>
        <v>0</v>
      </c>
      <c r="J55" s="254">
        <f>IF(INVENT_FRA&lt;0.01,IF(J1+INVENT_INT&lt;PRJ_DURATION,INDEX(Анализ!$B$65:$Y$65,J1+INVENT_INT),0),IF(J1+INVENT_INT&lt;PRJ_DURATION-1,INDEX(Анализ!$B$65:$Y$65,J1+INVENT_INT+1)*INVENT_FRA,0)+IF(J1+INVENT_INT&lt;PRJ_DURATION,INDEX(Анализ!$B$65:$Y$65,J1+INVENT_INT)*(1-INVENT_FRA),0))</f>
        <v>0</v>
      </c>
      <c r="K55" s="254">
        <f>IF(INVENT_FRA&lt;0.01,IF(K1+INVENT_INT&lt;PRJ_DURATION,INDEX(Анализ!$B$65:$Y$65,K1+INVENT_INT),0),IF(K1+INVENT_INT&lt;PRJ_DURATION-1,INDEX(Анализ!$B$65:$Y$65,K1+INVENT_INT+1)*INVENT_FRA,0)+IF(K1+INVENT_INT&lt;PRJ_DURATION,INDEX(Анализ!$B$65:$Y$65,K1+INVENT_INT)*(1-INVENT_FRA),0))</f>
        <v>0</v>
      </c>
      <c r="L55" s="254">
        <f>IF(INVENT_FRA&lt;0.01,IF(L1+INVENT_INT&lt;PRJ_DURATION,INDEX(Анализ!$B$65:$Y$65,L1+INVENT_INT),0),IF(L1+INVENT_INT&lt;PRJ_DURATION-1,INDEX(Анализ!$B$65:$Y$65,L1+INVENT_INT+1)*INVENT_FRA,0)+IF(L1+INVENT_INT&lt;PRJ_DURATION,INDEX(Анализ!$B$65:$Y$65,L1+INVENT_INT)*(1-INVENT_FRA),0))</f>
        <v>0</v>
      </c>
      <c r="M55" s="254">
        <f>IF(INVENT_FRA&lt;0.01,IF(M1+INVENT_INT&lt;PRJ_DURATION,INDEX(Анализ!$B$65:$Y$65,M1+INVENT_INT),0),IF(M1+INVENT_INT&lt;PRJ_DURATION-1,INDEX(Анализ!$B$65:$Y$65,M1+INVENT_INT+1)*INVENT_FRA,0)+IF(M1+INVENT_INT&lt;PRJ_DURATION,INDEX(Анализ!$B$65:$Y$65,M1+INVENT_INT)*(1-INVENT_FRA),0))</f>
        <v>0</v>
      </c>
      <c r="N55" s="254">
        <f>IF(INVENT_FRA&lt;0.01,IF(N1+INVENT_INT&lt;PRJ_DURATION,INDEX(Анализ!$B$65:$Y$65,N1+INVENT_INT),0),IF(N1+INVENT_INT&lt;PRJ_DURATION-1,INDEX(Анализ!$B$65:$Y$65,N1+INVENT_INT+1)*INVENT_FRA,0)+IF(N1+INVENT_INT&lt;PRJ_DURATION,INDEX(Анализ!$B$65:$Y$65,N1+INVENT_INT)*(1-INVENT_FRA),0))</f>
        <v>0</v>
      </c>
      <c r="O55" s="254">
        <f>IF(INVENT_FRA&lt;0.01,IF(O1+INVENT_INT&lt;PRJ_DURATION,INDEX(Анализ!$B$65:$Y$65,O1+INVENT_INT),0),IF(O1+INVENT_INT&lt;PRJ_DURATION-1,INDEX(Анализ!$B$65:$Y$65,O1+INVENT_INT+1)*INVENT_FRA,0)+IF(O1+INVENT_INT&lt;PRJ_DURATION,INDEX(Анализ!$B$65:$Y$65,O1+INVENT_INT)*(1-INVENT_FRA),0))</f>
        <v>0</v>
      </c>
      <c r="P55" s="254">
        <f>IF(INVENT_FRA&lt;0.01,IF(P1+INVENT_INT&lt;PRJ_DURATION,INDEX(Анализ!$B$65:$Y$65,P1+INVENT_INT),0),IF(P1+INVENT_INT&lt;PRJ_DURATION-1,INDEX(Анализ!$B$65:$Y$65,P1+INVENT_INT+1)*INVENT_FRA,0)+IF(P1+INVENT_INT&lt;PRJ_DURATION,INDEX(Анализ!$B$65:$Y$65,P1+INVENT_INT)*(1-INVENT_FRA),0))</f>
        <v>0</v>
      </c>
      <c r="Q55" s="254">
        <f>IF(INVENT_FRA&lt;0.01,IF(Q1+INVENT_INT&lt;PRJ_DURATION,INDEX(Анализ!$B$65:$Y$65,Q1+INVENT_INT),0),IF(Q1+INVENT_INT&lt;PRJ_DURATION-1,INDEX(Анализ!$B$65:$Y$65,Q1+INVENT_INT+1)*INVENT_FRA,0)+IF(Q1+INVENT_INT&lt;PRJ_DURATION,INDEX(Анализ!$B$65:$Y$65,Q1+INVENT_INT)*(1-INVENT_FRA),0))</f>
        <v>0</v>
      </c>
      <c r="R55" s="254">
        <f>IF(INVENT_FRA&lt;0.01,IF(R1+INVENT_INT&lt;PRJ_DURATION,INDEX(Анализ!$B$65:$Y$65,R1+INVENT_INT),0),IF(R1+INVENT_INT&lt;PRJ_DURATION-1,INDEX(Анализ!$B$65:$Y$65,R1+INVENT_INT+1)*INVENT_FRA,0)+IF(R1+INVENT_INT&lt;PRJ_DURATION,INDEX(Анализ!$B$65:$Y$65,R1+INVENT_INT)*(1-INVENT_FRA),0))</f>
        <v>0</v>
      </c>
      <c r="S55" s="254">
        <f>IF(INVENT_FRA&lt;0.01,IF(S1+INVENT_INT&lt;PRJ_DURATION,INDEX(Анализ!$B$65:$Y$65,S1+INVENT_INT),0),IF(S1+INVENT_INT&lt;PRJ_DURATION-1,INDEX(Анализ!$B$65:$Y$65,S1+INVENT_INT+1)*INVENT_FRA,0)+IF(S1+INVENT_INT&lt;PRJ_DURATION,INDEX(Анализ!$B$65:$Y$65,S1+INVENT_INT)*(1-INVENT_FRA),0))</f>
        <v>0</v>
      </c>
      <c r="T55" s="254">
        <f>IF(INVENT_FRA&lt;0.01,IF(T1+INVENT_INT&lt;PRJ_DURATION,INDEX(Анализ!$B$65:$Y$65,T1+INVENT_INT),0),IF(T1+INVENT_INT&lt;PRJ_DURATION-1,INDEX(Анализ!$B$65:$Y$65,T1+INVENT_INT+1)*INVENT_FRA,0)+IF(T1+INVENT_INT&lt;PRJ_DURATION,INDEX(Анализ!$B$65:$Y$65,T1+INVENT_INT)*(1-INVENT_FRA),0))</f>
        <v>0</v>
      </c>
      <c r="U55" s="254">
        <f>IF(INVENT_FRA&lt;0.01,IF(U1+INVENT_INT&lt;PRJ_DURATION,INDEX(Анализ!$B$65:$Y$65,U1+INVENT_INT),0),IF(U1+INVENT_INT&lt;PRJ_DURATION-1,INDEX(Анализ!$B$65:$Y$65,U1+INVENT_INT+1)*INVENT_FRA,0)+IF(U1+INVENT_INT&lt;PRJ_DURATION,INDEX(Анализ!$B$65:$Y$65,U1+INVENT_INT)*(1-INVENT_FRA),0))</f>
        <v>0</v>
      </c>
      <c r="V55" s="254">
        <f>IF(INVENT_FRA&lt;0.01,IF(V1+INVENT_INT&lt;PRJ_DURATION,INDEX(Анализ!$B$65:$Y$65,V1+INVENT_INT),0),IF(V1+INVENT_INT&lt;PRJ_DURATION-1,INDEX(Анализ!$B$65:$Y$65,V1+INVENT_INT+1)*INVENT_FRA,0)+IF(V1+INVENT_INT&lt;PRJ_DURATION,INDEX(Анализ!$B$65:$Y$65,V1+INVENT_INT)*(1-INVENT_FRA),0))</f>
        <v>0</v>
      </c>
      <c r="W55" s="254">
        <f>IF(INVENT_FRA&lt;0.01,IF(W1+INVENT_INT&lt;PRJ_DURATION,INDEX(Анализ!$B$65:$Y$65,W1+INVENT_INT),0),IF(W1+INVENT_INT&lt;PRJ_DURATION-1,INDEX(Анализ!$B$65:$Y$65,W1+INVENT_INT+1)*INVENT_FRA,0)+IF(W1+INVENT_INT&lt;PRJ_DURATION,INDEX(Анализ!$B$65:$Y$65,W1+INVENT_INT)*(1-INVENT_FRA),0))</f>
        <v>0</v>
      </c>
      <c r="X55" s="254">
        <f>IF(INVENT_FRA&lt;0.01,IF(X1+INVENT_INT&lt;PRJ_DURATION,INDEX(Анализ!$B$65:$Y$65,X1+INVENT_INT),0),IF(X1+INVENT_INT&lt;PRJ_DURATION-1,INDEX(Анализ!$B$65:$Y$65,X1+INVENT_INT+1)*INVENT_FRA,0)+IF(X1+INVENT_INT&lt;PRJ_DURATION,INDEX(Анализ!$B$65:$Y$65,X1+INVENT_INT)*(1-INVENT_FRA),0))</f>
        <v>0</v>
      </c>
      <c r="Y55" s="254">
        <f>IF(INVENT_FRA&lt;0.01,IF(Y1+INVENT_INT&lt;PRJ_DURATION,INDEX(Анализ!$B$65:$Y$65,Y1+INVENT_INT),0),IF(Y1+INVENT_INT&lt;PRJ_DURATION-1,INDEX(Анализ!$B$65:$Y$65,Y1+INVENT_INT+1)*INVENT_FRA,0)+IF(Y1+INVENT_INT&lt;PRJ_DURATION,INDEX(Анализ!$B$65:$Y$65,Y1+INVENT_INT)*(1-INVENT_FRA),0))</f>
        <v>0</v>
      </c>
    </row>
    <row r="57" spans="1:25">
      <c r="A57" s="7" t="s">
        <v>350</v>
      </c>
      <c r="B57" s="7">
        <v>24</v>
      </c>
      <c r="D57" s="346">
        <v>0.2</v>
      </c>
    </row>
    <row r="58" spans="1:25">
      <c r="A58" s="7" t="s">
        <v>351</v>
      </c>
      <c r="B58" s="7" t="s">
        <v>352</v>
      </c>
      <c r="D58" s="346">
        <v>0.25</v>
      </c>
    </row>
    <row r="59" spans="1:25">
      <c r="B59" s="7" t="s">
        <v>353</v>
      </c>
      <c r="D59" s="346">
        <v>0.3</v>
      </c>
    </row>
    <row r="60" spans="1:25">
      <c r="A60" s="7" t="s">
        <v>354</v>
      </c>
      <c r="B60" s="7">
        <v>1</v>
      </c>
      <c r="D60" s="346">
        <v>0.35</v>
      </c>
    </row>
    <row r="61" spans="1:25">
      <c r="A61" s="7" t="s">
        <v>355</v>
      </c>
      <c r="B61" s="7">
        <v>24</v>
      </c>
      <c r="D61" s="346">
        <v>0.4</v>
      </c>
    </row>
    <row r="62" spans="1:25">
      <c r="D62" s="346">
        <v>0.45</v>
      </c>
    </row>
    <row r="63" spans="1:25">
      <c r="A63" s="7" t="s">
        <v>364</v>
      </c>
      <c r="B63" s="347">
        <f ca="1">MIN('Кэш-фло'!$C$23:INDIRECT(ADDRESS(ROW('Кэш-фло'!C23),1+PRJ_DURATION,,1,"Кэш-фло")))</f>
        <v>-1030000</v>
      </c>
      <c r="D63" s="346">
        <v>0.5</v>
      </c>
    </row>
    <row r="64" spans="1:25">
      <c r="A64" s="29" t="s">
        <v>366</v>
      </c>
      <c r="B64" s="7">
        <v>7</v>
      </c>
    </row>
    <row r="65" spans="1:1">
      <c r="A65" s="29"/>
    </row>
    <row r="66" spans="1:1" s="350" customFormat="1" ht="18" customHeight="1">
      <c r="A66" s="349"/>
    </row>
    <row r="67" spans="1:1">
      <c r="A67" s="29"/>
    </row>
    <row r="68" spans="1:1">
      <c r="A68" s="29"/>
    </row>
    <row r="69" spans="1:1">
      <c r="A69" s="29"/>
    </row>
  </sheetData>
  <mergeCells count="2">
    <mergeCell ref="A32:M32"/>
    <mergeCell ref="A38:M38"/>
  </mergeCells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PreparePRO">
                <anchor moveWithCells="1">
                  <from>
                    <xdr:col>1</xdr:col>
                    <xdr:colOff>0</xdr:colOff>
                    <xdr:row>65</xdr:row>
                    <xdr:rowOff>9525</xdr:rowOff>
                  </from>
                  <to>
                    <xdr:col>2</xdr:col>
                    <xdr:colOff>571500</xdr:colOff>
                    <xdr:row>65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0]!PrepareSTD">
                <anchor moveWithCells="1">
                  <from>
                    <xdr:col>4</xdr:col>
                    <xdr:colOff>0</xdr:colOff>
                    <xdr:row>65</xdr:row>
                    <xdr:rowOff>9525</xdr:rowOff>
                  </from>
                  <to>
                    <xdr:col>5</xdr:col>
                    <xdr:colOff>571500</xdr:colOff>
                    <xdr:row>65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26</vt:i4>
      </vt:variant>
    </vt:vector>
  </HeadingPairs>
  <TitlesOfParts>
    <vt:vector size="35" baseType="lpstr">
      <vt:lpstr>мои рассчеты</vt:lpstr>
      <vt:lpstr>Данные</vt:lpstr>
      <vt:lpstr>Прибыль</vt:lpstr>
      <vt:lpstr>Баланс</vt:lpstr>
      <vt:lpstr>Кэш-фло</vt:lpstr>
      <vt:lpstr>Анализ</vt:lpstr>
      <vt:lpstr>Графики</vt:lpstr>
      <vt:lpstr>SENS</vt:lpstr>
      <vt:lpstr>Расчеты</vt:lpstr>
      <vt:lpstr>ASSETS_TAX</vt:lpstr>
      <vt:lpstr>CASH_DEFICIT</vt:lpstr>
      <vt:lpstr>CREDIT_FRA</vt:lpstr>
      <vt:lpstr>CREDIT_INT</vt:lpstr>
      <vt:lpstr>CREDIT_PERIOD</vt:lpstr>
      <vt:lpstr>CURLANGUAGE</vt:lpstr>
      <vt:lpstr>DEBIT_FRA</vt:lpstr>
      <vt:lpstr>DEBIT_INT</vt:lpstr>
      <vt:lpstr>DEBIT_PERIOD</vt:lpstr>
      <vt:lpstr>INVENT_FRA</vt:lpstr>
      <vt:lpstr>INVENT_INT</vt:lpstr>
      <vt:lpstr>INVENT_PERIOD</vt:lpstr>
      <vt:lpstr>LANG_SELECTION_PROMPT</vt:lpstr>
      <vt:lpstr>MAX_DURATION</vt:lpstr>
      <vt:lpstr>MAX_SENS_OFFSET</vt:lpstr>
      <vt:lpstr>NPV</vt:lpstr>
      <vt:lpstr>PERIOD_LEN</vt:lpstr>
      <vt:lpstr>PRJ_DURATION</vt:lpstr>
      <vt:lpstr>PROFIT_TAX</vt:lpstr>
      <vt:lpstr>SALARY_TAX</vt:lpstr>
      <vt:lpstr>SALES_TAX</vt:lpstr>
      <vt:lpstr>STOCKS_PERIOD</vt:lpstr>
      <vt:lpstr>VAT</vt:lpstr>
      <vt:lpstr>Баланс!Заголовки_для_печати</vt:lpstr>
      <vt:lpstr>'Кэш-фло'!Заголовки_для_печати</vt:lpstr>
      <vt:lpstr>Прибыль!Заголовки_для_печати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Инвестиционный анализ</dc:title>
  <dc:creator>Дмитрий Рябых</dc:creator>
  <cp:lastModifiedBy>Elina M</cp:lastModifiedBy>
  <cp:lastPrinted>2022-05-23T11:17:44Z</cp:lastPrinted>
  <dcterms:created xsi:type="dcterms:W3CDTF">2000-07-02T12:06:54Z</dcterms:created>
  <dcterms:modified xsi:type="dcterms:W3CDTF">2026-09-13T17:20:07Z</dcterms:modified>
</cp:coreProperties>
</file>
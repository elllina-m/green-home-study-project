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ina\Documents\РУКОВОДИТЕЛЬ ПРОЕКТОВ\задание 3\"/>
    </mc:Choice>
  </mc:AlternateContent>
  <xr:revisionPtr revIDLastSave="0" documentId="13_ncr:1_{BBAD4C56-ABDC-4679-92A8-CC6F1EB154F2}" xr6:coauthVersionLast="47" xr6:coauthVersionMax="47" xr10:uidLastSave="{00000000-0000-0000-0000-000000000000}"/>
  <bookViews>
    <workbookView xWindow="1080" yWindow="225" windowWidth="17565" windowHeight="14670" xr2:uid="{00000000-000D-0000-FFFF-FFFF00000000}"/>
  </bookViews>
  <sheets>
    <sheet name="затраты" sheetId="1" r:id="rId1"/>
    <sheet name="закупк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5" i="2"/>
  <c r="E7" i="2" s="1"/>
  <c r="I3" i="1"/>
  <c r="C18" i="1"/>
  <c r="E3" i="1"/>
  <c r="E4" i="1"/>
  <c r="E5" i="1"/>
  <c r="E6" i="1"/>
  <c r="E7" i="1"/>
  <c r="E8" i="1"/>
  <c r="E9" i="1"/>
  <c r="E2" i="1"/>
  <c r="E10" i="1" s="1"/>
  <c r="I2" i="1" s="1"/>
  <c r="I4" i="1" s="1"/>
  <c r="M2" i="1" s="1"/>
  <c r="N2" i="1" l="1"/>
  <c r="N3" i="1" s="1"/>
  <c r="M3" i="1"/>
</calcChain>
</file>

<file path=xl/sharedStrings.xml><?xml version="1.0" encoding="utf-8"?>
<sst xmlns="http://schemas.openxmlformats.org/spreadsheetml/2006/main" count="46" uniqueCount="44">
  <si>
    <t>№</t>
  </si>
  <si>
    <t>Задача</t>
  </si>
  <si>
    <t>Стоимость</t>
  </si>
  <si>
    <t>Анализ требований и ТЗ</t>
  </si>
  <si>
    <t>Дизайн макетов</t>
  </si>
  <si>
    <t>Верстка HTML/CSS</t>
  </si>
  <si>
    <t>Программирование</t>
  </si>
  <si>
    <t>Интеграция с 1С</t>
  </si>
  <si>
    <t>Тестирование и отладка</t>
  </si>
  <si>
    <t>Наполнение контентом</t>
  </si>
  <si>
    <t>Запуск и передача</t>
  </si>
  <si>
    <t>Длительность, дни</t>
  </si>
  <si>
    <t>Ставка, руб/день</t>
  </si>
  <si>
    <t>Стоимость, руб</t>
  </si>
  <si>
    <t>трудовые ресурсы</t>
  </si>
  <si>
    <t>Итого</t>
  </si>
  <si>
    <t>Итого (трудовые ресурсы)</t>
  </si>
  <si>
    <t>Закупки</t>
  </si>
  <si>
    <t>Битрикс (лицензия "Старт")</t>
  </si>
  <si>
    <t>SEO статьи (10 шт.)</t>
  </si>
  <si>
    <t>затраты</t>
  </si>
  <si>
    <t>Общий бюджет</t>
  </si>
  <si>
    <t>всего</t>
  </si>
  <si>
    <t>Исходный бюджет 
(задача 1 раздел 2.2.)</t>
  </si>
  <si>
    <t>траты</t>
  </si>
  <si>
    <t>остаток</t>
  </si>
  <si>
    <t>предположим, начало проекта пришлось на 01.01.2026</t>
  </si>
  <si>
    <t>предмет закупки</t>
  </si>
  <si>
    <t>количество, шт</t>
  </si>
  <si>
    <t>вид закупки</t>
  </si>
  <si>
    <t>стоимость, руб</t>
  </si>
  <si>
    <t>срок закупки</t>
  </si>
  <si>
    <t>Лицензия Bitrix «Старт»</t>
  </si>
  <si>
    <t>лицензионное ПО</t>
  </si>
  <si>
    <t>до начала этапа 4 - до 22.01.2026 (согласно плану проекта в ProjectLibre)</t>
  </si>
  <si>
    <t>SEO-статьи для блога</t>
  </si>
  <si>
    <t>внешняя услуга</t>
  </si>
  <si>
    <t>начало 3 месяца</t>
  </si>
  <si>
    <t>итого</t>
  </si>
  <si>
    <t>Согласно данным задачи в рамках проекта предусмотрены закупки лицензии Bitrix "Старт" (далее - ПО) и услуги подрядчиков по написанию 10 SEO-статей для блога (далее - Статьи), общая стоимость составляет 50 000 руб.
Приобретение ПО должно быть выполнено до начала этапа 4 (Программирование). Согласно данным плана, составленным в ProjectLibre с условием, что проект начался 01.01.2026, ПО должно быть куплено до 22.01.2026.
Заказ Статей согласно условию должен быть произведен в начале 3 месяца проекта.
Согласно данным задачи покупка оборудования (облачного хостинга) не требуется, как и иных сервисов.</t>
  </si>
  <si>
    <r>
      <t xml:space="preserve">расчетная стоимость запланированных работ составляет 443 000 рублей. При заданном бюджете проекта 3 000 000 руб. неиспользованный резерв денежных средств бюджета составляет 2 557 000 руб.
</t>
    </r>
    <r>
      <rPr>
        <b/>
        <sz val="11"/>
        <color theme="1"/>
        <rFont val="Calibri"/>
        <family val="2"/>
        <charset val="204"/>
        <scheme val="minor"/>
      </rPr>
      <t>Резерв на непредвиденные расходы отдельно не определён в исходных данных.</t>
    </r>
  </si>
  <si>
    <t>порядок закупки</t>
  </si>
  <si>
    <t>1. формирование технического задания для статей
2. согласование ТЗ
3. поиск внешнего исполнителя 
4. заказ статей у внешнего исполнителя согласно согласованному ТЗ
5. подготовка и направление материалов, необходимых для выполнения работ</t>
  </si>
  <si>
    <t>1. определение потребности, выбор плана ПО для закрытия потребностей в данной программе
2. согласование закупки
3. приобретение лицензии
4. активация и настройка ПО для дальнейшего использования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</si>
</sst>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₽&quot;;[Red]\-#,##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8" formatCode="_-* #,##0.00\ [$₽-419]_-;\-* #,##0.00\ [$₽-419]_-;_-* &quot;-&quot;??\ [$₽-419]_-;_-@_-"/>
    <numFmt numFmtId="170" formatCode="_-* #,##0\ &quot;₽&quot;_-;\-* #,##0\ &quot;₽&quot;_-;_-* &quot;-&quot;??\ &quot;₽&quot;_-;_-@_-"/>
    <numFmt numFmtId="175" formatCode="0.0%"/>
    <numFmt numFmtId="17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6" fontId="0" fillId="0" borderId="0" xfId="0" applyNumberFormat="1"/>
    <xf numFmtId="0" fontId="0" fillId="0" borderId="0" xfId="0" applyFill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68" fontId="0" fillId="0" borderId="1" xfId="0" applyNumberFormat="1" applyBorder="1" applyAlignment="1">
      <alignment horizontal="right" vertical="center" wrapText="1"/>
    </xf>
    <xf numFmtId="6" fontId="3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6" fontId="0" fillId="2" borderId="1" xfId="0" applyNumberFormat="1" applyFill="1" applyBorder="1"/>
    <xf numFmtId="170" fontId="0" fillId="0" borderId="1" xfId="2" applyNumberFormat="1" applyFont="1" applyBorder="1"/>
    <xf numFmtId="170" fontId="0" fillId="2" borderId="1" xfId="0" applyNumberFormat="1" applyFill="1" applyBorder="1"/>
    <xf numFmtId="6" fontId="0" fillId="0" borderId="1" xfId="0" applyNumberFormat="1" applyBorder="1"/>
    <xf numFmtId="170" fontId="0" fillId="0" borderId="1" xfId="0" applyNumberFormat="1" applyBorder="1"/>
    <xf numFmtId="9" fontId="0" fillId="0" borderId="1" xfId="3" applyFont="1" applyBorder="1"/>
    <xf numFmtId="175" fontId="0" fillId="0" borderId="1" xfId="3" applyNumberFormat="1" applyFont="1" applyBorder="1"/>
    <xf numFmtId="175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177" fontId="0" fillId="0" borderId="1" xfId="1" applyNumberFormat="1" applyFont="1" applyBorder="1" applyAlignment="1">
      <alignment wrapText="1"/>
    </xf>
    <xf numFmtId="177" fontId="0" fillId="2" borderId="1" xfId="1" applyNumberFormat="1" applyFont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4"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L17" sqref="L17"/>
    </sheetView>
  </sheetViews>
  <sheetFormatPr defaultRowHeight="15" x14ac:dyDescent="0.25"/>
  <cols>
    <col min="1" max="1" width="6.28515625" customWidth="1"/>
    <col min="2" max="2" width="29.140625" customWidth="1"/>
    <col min="3" max="3" width="20.140625" customWidth="1"/>
    <col min="4" max="4" width="21" customWidth="1"/>
    <col min="5" max="5" width="15.85546875" customWidth="1"/>
    <col min="8" max="8" width="18.140625" customWidth="1"/>
    <col min="9" max="9" width="12" bestFit="1" customWidth="1"/>
    <col min="12" max="12" width="19.140625" customWidth="1"/>
    <col min="13" max="13" width="14.5703125" bestFit="1" customWidth="1"/>
  </cols>
  <sheetData>
    <row r="1" spans="1:14" ht="45" x14ac:dyDescent="0.25">
      <c r="A1" s="5" t="s">
        <v>0</v>
      </c>
      <c r="B1" s="5" t="s">
        <v>1</v>
      </c>
      <c r="C1" s="6" t="s">
        <v>11</v>
      </c>
      <c r="D1" s="6" t="s">
        <v>12</v>
      </c>
      <c r="E1" s="6" t="s">
        <v>13</v>
      </c>
      <c r="H1" s="11" t="s">
        <v>21</v>
      </c>
      <c r="I1" s="11"/>
      <c r="L1" s="3" t="s">
        <v>23</v>
      </c>
      <c r="M1" s="15">
        <v>3000000</v>
      </c>
      <c r="N1" s="19">
        <v>1</v>
      </c>
    </row>
    <row r="2" spans="1:14" x14ac:dyDescent="0.25">
      <c r="A2" s="7">
        <v>1</v>
      </c>
      <c r="B2" s="7" t="s">
        <v>3</v>
      </c>
      <c r="C2" s="8">
        <v>5</v>
      </c>
      <c r="D2" s="9">
        <v>5000</v>
      </c>
      <c r="E2" s="10">
        <f>C2*D2</f>
        <v>25000</v>
      </c>
      <c r="H2" s="11" t="s">
        <v>14</v>
      </c>
      <c r="I2" s="17">
        <f>E10</f>
        <v>393000</v>
      </c>
      <c r="L2" s="11" t="s">
        <v>24</v>
      </c>
      <c r="M2" s="17">
        <f>I4</f>
        <v>443000</v>
      </c>
      <c r="N2" s="20">
        <f>(M2/M1)*N1</f>
        <v>0.14766666666666667</v>
      </c>
    </row>
    <row r="3" spans="1:14" x14ac:dyDescent="0.25">
      <c r="A3" s="7">
        <v>2</v>
      </c>
      <c r="B3" s="7" t="s">
        <v>4</v>
      </c>
      <c r="C3" s="8">
        <v>10</v>
      </c>
      <c r="D3" s="9">
        <v>4000</v>
      </c>
      <c r="E3" s="10">
        <f t="shared" ref="E3:E9" si="0">C3*D3</f>
        <v>40000</v>
      </c>
      <c r="H3" s="11" t="s">
        <v>20</v>
      </c>
      <c r="I3" s="18">
        <f>C18</f>
        <v>50000</v>
      </c>
      <c r="L3" s="11" t="s">
        <v>25</v>
      </c>
      <c r="M3" s="18">
        <f>M1-M2</f>
        <v>2557000</v>
      </c>
      <c r="N3" s="21">
        <f>N1-N2</f>
        <v>0.85233333333333339</v>
      </c>
    </row>
    <row r="4" spans="1:14" x14ac:dyDescent="0.25">
      <c r="A4" s="7">
        <v>3</v>
      </c>
      <c r="B4" s="7" t="s">
        <v>5</v>
      </c>
      <c r="C4" s="8">
        <v>10</v>
      </c>
      <c r="D4" s="9">
        <v>4500</v>
      </c>
      <c r="E4" s="10">
        <f t="shared" si="0"/>
        <v>45000</v>
      </c>
      <c r="H4" s="13" t="s">
        <v>22</v>
      </c>
      <c r="I4" s="14">
        <f>I2+I3</f>
        <v>443000</v>
      </c>
    </row>
    <row r="5" spans="1:14" ht="15" customHeight="1" x14ac:dyDescent="0.25">
      <c r="A5" s="7">
        <v>4</v>
      </c>
      <c r="B5" s="7" t="s">
        <v>6</v>
      </c>
      <c r="C5" s="8">
        <v>20</v>
      </c>
      <c r="D5" s="9">
        <v>7000</v>
      </c>
      <c r="E5" s="10">
        <f t="shared" si="0"/>
        <v>140000</v>
      </c>
      <c r="L5" s="22" t="s">
        <v>40</v>
      </c>
      <c r="M5" s="22"/>
      <c r="N5" s="22"/>
    </row>
    <row r="6" spans="1:14" x14ac:dyDescent="0.25">
      <c r="A6" s="7">
        <v>5</v>
      </c>
      <c r="B6" s="7" t="s">
        <v>7</v>
      </c>
      <c r="C6" s="8">
        <v>10</v>
      </c>
      <c r="D6" s="9">
        <v>6000</v>
      </c>
      <c r="E6" s="10">
        <f t="shared" si="0"/>
        <v>60000</v>
      </c>
      <c r="L6" s="22"/>
      <c r="M6" s="22"/>
      <c r="N6" s="22"/>
    </row>
    <row r="7" spans="1:14" x14ac:dyDescent="0.25">
      <c r="A7" s="7">
        <v>6</v>
      </c>
      <c r="B7" s="7" t="s">
        <v>8</v>
      </c>
      <c r="C7" s="8">
        <v>8</v>
      </c>
      <c r="D7" s="9">
        <v>3500</v>
      </c>
      <c r="E7" s="10">
        <f t="shared" si="0"/>
        <v>28000</v>
      </c>
      <c r="L7" s="22"/>
      <c r="M7" s="22"/>
      <c r="N7" s="22"/>
    </row>
    <row r="8" spans="1:14" x14ac:dyDescent="0.25">
      <c r="A8" s="7">
        <v>7</v>
      </c>
      <c r="B8" s="7" t="s">
        <v>9</v>
      </c>
      <c r="C8" s="8">
        <v>15</v>
      </c>
      <c r="D8" s="9">
        <v>3000</v>
      </c>
      <c r="E8" s="10">
        <f t="shared" si="0"/>
        <v>45000</v>
      </c>
      <c r="L8" s="22"/>
      <c r="M8" s="22"/>
      <c r="N8" s="22"/>
    </row>
    <row r="9" spans="1:14" x14ac:dyDescent="0.25">
      <c r="A9" s="7">
        <v>8</v>
      </c>
      <c r="B9" s="7" t="s">
        <v>10</v>
      </c>
      <c r="C9" s="8">
        <v>2</v>
      </c>
      <c r="D9" s="9">
        <v>5000</v>
      </c>
      <c r="E9" s="10">
        <f t="shared" si="0"/>
        <v>10000</v>
      </c>
      <c r="L9" s="22"/>
      <c r="M9" s="22"/>
      <c r="N9" s="22"/>
    </row>
    <row r="10" spans="1:14" x14ac:dyDescent="0.25">
      <c r="A10" s="11"/>
      <c r="B10" s="12" t="s">
        <v>16</v>
      </c>
      <c r="C10" s="13"/>
      <c r="D10" s="13"/>
      <c r="E10" s="14">
        <f>SUM(E2:E9)</f>
        <v>393000</v>
      </c>
      <c r="L10" s="22"/>
      <c r="M10" s="22"/>
      <c r="N10" s="22"/>
    </row>
    <row r="11" spans="1:14" x14ac:dyDescent="0.25">
      <c r="D11" s="2"/>
      <c r="E11" s="1"/>
      <c r="L11" s="22"/>
      <c r="M11" s="22"/>
      <c r="N11" s="22"/>
    </row>
    <row r="12" spans="1:14" x14ac:dyDescent="0.25">
      <c r="L12" s="22"/>
      <c r="M12" s="22"/>
      <c r="N12" s="22"/>
    </row>
    <row r="13" spans="1:14" x14ac:dyDescent="0.25">
      <c r="L13" s="22"/>
      <c r="M13" s="22"/>
      <c r="N13" s="22"/>
    </row>
    <row r="15" spans="1:14" x14ac:dyDescent="0.25">
      <c r="A15" s="11"/>
      <c r="B15" s="11" t="s">
        <v>17</v>
      </c>
      <c r="C15" s="11" t="s">
        <v>2</v>
      </c>
    </row>
    <row r="16" spans="1:14" x14ac:dyDescent="0.25">
      <c r="A16" s="11">
        <v>1</v>
      </c>
      <c r="B16" s="11" t="s">
        <v>18</v>
      </c>
      <c r="C16" s="15">
        <v>30000</v>
      </c>
    </row>
    <row r="17" spans="1:3" x14ac:dyDescent="0.25">
      <c r="A17" s="11">
        <v>2</v>
      </c>
      <c r="B17" s="11" t="s">
        <v>19</v>
      </c>
      <c r="C17" s="15">
        <v>20000</v>
      </c>
    </row>
    <row r="18" spans="1:3" x14ac:dyDescent="0.25">
      <c r="A18" s="11"/>
      <c r="B18" s="13" t="s">
        <v>15</v>
      </c>
      <c r="C18" s="16">
        <f>C16+C17</f>
        <v>50000</v>
      </c>
    </row>
  </sheetData>
  <mergeCells count="1">
    <mergeCell ref="L5:N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C120-BD84-4613-A279-163B9248B653}">
  <dimension ref="A1:G15"/>
  <sheetViews>
    <sheetView workbookViewId="0">
      <selection activeCell="G6" sqref="G6"/>
    </sheetView>
  </sheetViews>
  <sheetFormatPr defaultRowHeight="15" x14ac:dyDescent="0.25"/>
  <cols>
    <col min="2" max="2" width="16.7109375" customWidth="1"/>
    <col min="3" max="3" width="18.42578125" customWidth="1"/>
    <col min="4" max="4" width="19" customWidth="1"/>
    <col min="5" max="5" width="16.42578125" customWidth="1"/>
    <col min="6" max="6" width="18.28515625" customWidth="1"/>
    <col min="7" max="7" width="41.7109375" customWidth="1"/>
  </cols>
  <sheetData>
    <row r="1" spans="1:7" x14ac:dyDescent="0.25">
      <c r="A1" t="s">
        <v>26</v>
      </c>
    </row>
    <row r="3" spans="1:7" x14ac:dyDescent="0.25">
      <c r="A3" t="s">
        <v>17</v>
      </c>
    </row>
    <row r="4" spans="1:7" x14ac:dyDescent="0.25">
      <c r="A4" s="3" t="s">
        <v>0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25" t="s">
        <v>41</v>
      </c>
    </row>
    <row r="5" spans="1:7" ht="105" x14ac:dyDescent="0.25">
      <c r="A5" s="3">
        <v>1</v>
      </c>
      <c r="B5" s="3" t="s">
        <v>32</v>
      </c>
      <c r="C5" s="3">
        <v>1</v>
      </c>
      <c r="D5" s="3" t="s">
        <v>33</v>
      </c>
      <c r="E5" s="23">
        <f>затраты!C16</f>
        <v>30000</v>
      </c>
      <c r="F5" s="3" t="s">
        <v>34</v>
      </c>
      <c r="G5" s="3" t="s">
        <v>43</v>
      </c>
    </row>
    <row r="6" spans="1:7" ht="120" x14ac:dyDescent="0.25">
      <c r="A6" s="3">
        <v>2</v>
      </c>
      <c r="B6" s="3" t="s">
        <v>35</v>
      </c>
      <c r="C6" s="3">
        <v>10</v>
      </c>
      <c r="D6" s="3" t="s">
        <v>36</v>
      </c>
      <c r="E6" s="23">
        <f>затраты!C17</f>
        <v>20000</v>
      </c>
      <c r="F6" s="3" t="s">
        <v>37</v>
      </c>
      <c r="G6" s="3" t="s">
        <v>42</v>
      </c>
    </row>
    <row r="7" spans="1:7" x14ac:dyDescent="0.25">
      <c r="A7" s="3"/>
      <c r="B7" s="4" t="s">
        <v>38</v>
      </c>
      <c r="C7" s="4"/>
      <c r="D7" s="4"/>
      <c r="E7" s="24">
        <f>SUM(E5:E6)</f>
        <v>50000</v>
      </c>
      <c r="F7" s="4"/>
      <c r="G7" s="11"/>
    </row>
    <row r="9" spans="1:7" ht="15" customHeight="1" x14ac:dyDescent="0.25">
      <c r="A9" s="22" t="s">
        <v>39</v>
      </c>
      <c r="B9" s="22"/>
      <c r="C9" s="22"/>
      <c r="D9" s="22"/>
      <c r="E9" s="22"/>
      <c r="F9" s="22"/>
      <c r="G9" s="22"/>
    </row>
    <row r="10" spans="1:7" x14ac:dyDescent="0.25">
      <c r="A10" s="22"/>
      <c r="B10" s="22"/>
      <c r="C10" s="22"/>
      <c r="D10" s="22"/>
      <c r="E10" s="22"/>
      <c r="F10" s="22"/>
      <c r="G10" s="22"/>
    </row>
    <row r="11" spans="1:7" x14ac:dyDescent="0.25">
      <c r="A11" s="22"/>
      <c r="B11" s="22"/>
      <c r="C11" s="22"/>
      <c r="D11" s="22"/>
      <c r="E11" s="22"/>
      <c r="F11" s="22"/>
      <c r="G11" s="22"/>
    </row>
    <row r="12" spans="1:7" x14ac:dyDescent="0.25">
      <c r="A12" s="22"/>
      <c r="B12" s="22"/>
      <c r="C12" s="22"/>
      <c r="D12" s="22"/>
      <c r="E12" s="22"/>
      <c r="F12" s="22"/>
      <c r="G12" s="22"/>
    </row>
    <row r="13" spans="1:7" x14ac:dyDescent="0.25">
      <c r="A13" s="22"/>
      <c r="B13" s="22"/>
      <c r="C13" s="22"/>
      <c r="D13" s="22"/>
      <c r="E13" s="22"/>
      <c r="F13" s="22"/>
      <c r="G13" s="22"/>
    </row>
    <row r="14" spans="1:7" x14ac:dyDescent="0.25">
      <c r="A14" s="22"/>
      <c r="B14" s="22"/>
      <c r="C14" s="22"/>
      <c r="D14" s="22"/>
      <c r="E14" s="22"/>
      <c r="F14" s="22"/>
      <c r="G14" s="22"/>
    </row>
    <row r="15" spans="1:7" x14ac:dyDescent="0.25">
      <c r="A15" s="22"/>
      <c r="B15" s="22"/>
      <c r="C15" s="22"/>
      <c r="D15" s="22"/>
      <c r="E15" s="22"/>
      <c r="F15" s="22"/>
      <c r="G15" s="22"/>
    </row>
  </sheetData>
  <mergeCells count="1">
    <mergeCell ref="A9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затраты</vt:lpstr>
      <vt:lpstr>закупки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 M</dc:creator>
  <cp:lastModifiedBy>Elina M</cp:lastModifiedBy>
  <dcterms:created xsi:type="dcterms:W3CDTF">2015-06-05T18:17:20Z</dcterms:created>
  <dcterms:modified xsi:type="dcterms:W3CDTF">2026-09-14T22:06:06Z</dcterms:modified>
</cp:coreProperties>
</file>